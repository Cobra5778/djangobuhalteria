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-15" yWindow="6390" windowWidth="24240" windowHeight="5850"/>
  </bookViews>
  <sheets>
    <sheet name="Данные" sheetId="8" r:id="rId1"/>
    <sheet name="АКТ_Приемки услуг" sheetId="1" r:id="rId2"/>
    <sheet name="Соглашение об уступке" sheetId="2" r:id="rId3"/>
    <sheet name="Книга Продаж" sheetId="3" r:id="rId4"/>
    <sheet name="Счет" sheetId="5" r:id="rId5"/>
    <sheet name="С-Ф" sheetId="13" r:id="rId6"/>
    <sheet name="АКТ" sheetId="7" r:id="rId7"/>
    <sheet name="АКТ зачета задолженостей" sheetId="9" r:id="rId8"/>
  </sheets>
  <externalReferences>
    <externalReference r:id="rId9"/>
  </externalReferences>
  <definedNames>
    <definedName name="апав">[1]Исх.Данные!#REF!</definedName>
  </definedNames>
  <calcPr calcId="144525"/>
</workbook>
</file>

<file path=xl/calcChain.xml><?xml version="1.0" encoding="utf-8"?>
<calcChain xmlns="http://schemas.openxmlformats.org/spreadsheetml/2006/main">
  <c r="A2" i="7" l="1"/>
  <c r="F2" i="13"/>
  <c r="D12" i="5"/>
  <c r="B16" i="3" l="1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4" i="3"/>
  <c r="B15" i="3"/>
  <c r="I112" i="3"/>
  <c r="J112" i="3"/>
  <c r="P112" i="3"/>
  <c r="Q112" i="3"/>
  <c r="U112" i="3" s="1"/>
  <c r="C14" i="3"/>
  <c r="I14" i="3"/>
  <c r="J14" i="3"/>
  <c r="P14" i="3"/>
  <c r="Q14" i="3"/>
  <c r="U14" i="3" s="1"/>
  <c r="C15" i="3"/>
  <c r="I15" i="3"/>
  <c r="J15" i="3"/>
  <c r="P15" i="3"/>
  <c r="U15" i="3" s="1"/>
  <c r="Q15" i="3"/>
  <c r="C16" i="3"/>
  <c r="I16" i="3"/>
  <c r="J16" i="3"/>
  <c r="P16" i="3"/>
  <c r="Q16" i="3"/>
  <c r="U16" i="3" s="1"/>
  <c r="C17" i="3"/>
  <c r="I17" i="3"/>
  <c r="J17" i="3"/>
  <c r="P17" i="3"/>
  <c r="U17" i="3" s="1"/>
  <c r="Q17" i="3"/>
  <c r="C18" i="3"/>
  <c r="I18" i="3"/>
  <c r="J18" i="3"/>
  <c r="P18" i="3"/>
  <c r="Q18" i="3"/>
  <c r="U18" i="3" s="1"/>
  <c r="C19" i="3"/>
  <c r="I19" i="3"/>
  <c r="J19" i="3"/>
  <c r="P19" i="3"/>
  <c r="U19" i="3" s="1"/>
  <c r="Q19" i="3"/>
  <c r="C20" i="3"/>
  <c r="I20" i="3"/>
  <c r="J20" i="3"/>
  <c r="P20" i="3"/>
  <c r="Q20" i="3"/>
  <c r="U20" i="3" s="1"/>
  <c r="C21" i="3"/>
  <c r="I21" i="3"/>
  <c r="J21" i="3"/>
  <c r="P21" i="3"/>
  <c r="U21" i="3" s="1"/>
  <c r="Q21" i="3"/>
  <c r="C22" i="3"/>
  <c r="I22" i="3"/>
  <c r="J22" i="3"/>
  <c r="P22" i="3"/>
  <c r="Q22" i="3"/>
  <c r="U22" i="3" s="1"/>
  <c r="C23" i="3"/>
  <c r="I23" i="3"/>
  <c r="J23" i="3"/>
  <c r="P23" i="3"/>
  <c r="U23" i="3" s="1"/>
  <c r="Q23" i="3"/>
  <c r="C24" i="3"/>
  <c r="I24" i="3"/>
  <c r="J24" i="3"/>
  <c r="P24" i="3"/>
  <c r="Q24" i="3"/>
  <c r="U24" i="3" s="1"/>
  <c r="C25" i="3"/>
  <c r="I25" i="3"/>
  <c r="J25" i="3"/>
  <c r="P25" i="3"/>
  <c r="U25" i="3" s="1"/>
  <c r="Q25" i="3"/>
  <c r="C26" i="3"/>
  <c r="I26" i="3"/>
  <c r="J26" i="3"/>
  <c r="P26" i="3"/>
  <c r="Q26" i="3"/>
  <c r="U26" i="3" s="1"/>
  <c r="C27" i="3"/>
  <c r="I27" i="3"/>
  <c r="J27" i="3"/>
  <c r="P27" i="3"/>
  <c r="U27" i="3" s="1"/>
  <c r="Q27" i="3"/>
  <c r="C28" i="3"/>
  <c r="I28" i="3"/>
  <c r="J28" i="3"/>
  <c r="P28" i="3"/>
  <c r="Q28" i="3"/>
  <c r="U28" i="3" s="1"/>
  <c r="C29" i="3"/>
  <c r="I29" i="3"/>
  <c r="J29" i="3"/>
  <c r="P29" i="3"/>
  <c r="U29" i="3" s="1"/>
  <c r="Q29" i="3"/>
  <c r="C30" i="3"/>
  <c r="I30" i="3"/>
  <c r="J30" i="3"/>
  <c r="P30" i="3"/>
  <c r="Q30" i="3"/>
  <c r="U30" i="3" s="1"/>
  <c r="C31" i="3"/>
  <c r="I31" i="3"/>
  <c r="J31" i="3"/>
  <c r="P31" i="3"/>
  <c r="U31" i="3" s="1"/>
  <c r="Q31" i="3"/>
  <c r="C32" i="3"/>
  <c r="I32" i="3"/>
  <c r="J32" i="3"/>
  <c r="P32" i="3"/>
  <c r="Q32" i="3"/>
  <c r="U32" i="3" s="1"/>
  <c r="C33" i="3"/>
  <c r="I33" i="3"/>
  <c r="J33" i="3"/>
  <c r="P33" i="3"/>
  <c r="U33" i="3" s="1"/>
  <c r="Q33" i="3"/>
  <c r="C34" i="3"/>
  <c r="I34" i="3"/>
  <c r="J34" i="3"/>
  <c r="P34" i="3"/>
  <c r="Q34" i="3"/>
  <c r="U34" i="3" s="1"/>
  <c r="C35" i="3"/>
  <c r="I35" i="3"/>
  <c r="J35" i="3"/>
  <c r="P35" i="3"/>
  <c r="U35" i="3" s="1"/>
  <c r="Q35" i="3"/>
  <c r="C36" i="3"/>
  <c r="I36" i="3"/>
  <c r="J36" i="3"/>
  <c r="P36" i="3"/>
  <c r="Q36" i="3"/>
  <c r="U36" i="3" s="1"/>
  <c r="C37" i="3"/>
  <c r="I37" i="3"/>
  <c r="J37" i="3"/>
  <c r="P37" i="3"/>
  <c r="U37" i="3" s="1"/>
  <c r="Q37" i="3"/>
  <c r="C38" i="3"/>
  <c r="I38" i="3"/>
  <c r="J38" i="3"/>
  <c r="P38" i="3"/>
  <c r="Q38" i="3"/>
  <c r="U38" i="3" s="1"/>
  <c r="C39" i="3"/>
  <c r="I39" i="3"/>
  <c r="J39" i="3"/>
  <c r="P39" i="3"/>
  <c r="U39" i="3" s="1"/>
  <c r="Q39" i="3"/>
  <c r="C40" i="3"/>
  <c r="I40" i="3"/>
  <c r="J40" i="3"/>
  <c r="P40" i="3"/>
  <c r="Q40" i="3"/>
  <c r="U40" i="3" s="1"/>
  <c r="C41" i="3"/>
  <c r="I41" i="3"/>
  <c r="J41" i="3"/>
  <c r="P41" i="3"/>
  <c r="U41" i="3" s="1"/>
  <c r="Q41" i="3"/>
  <c r="C42" i="3"/>
  <c r="I42" i="3"/>
  <c r="J42" i="3"/>
  <c r="P42" i="3"/>
  <c r="Q42" i="3"/>
  <c r="U42" i="3" s="1"/>
  <c r="C43" i="3"/>
  <c r="I43" i="3"/>
  <c r="J43" i="3"/>
  <c r="P43" i="3"/>
  <c r="U43" i="3" s="1"/>
  <c r="Q43" i="3"/>
  <c r="C44" i="3"/>
  <c r="I44" i="3"/>
  <c r="J44" i="3"/>
  <c r="P44" i="3"/>
  <c r="Q44" i="3"/>
  <c r="U44" i="3" s="1"/>
  <c r="C45" i="3"/>
  <c r="I45" i="3"/>
  <c r="J45" i="3"/>
  <c r="P45" i="3"/>
  <c r="U45" i="3" s="1"/>
  <c r="Q45" i="3"/>
  <c r="C46" i="3"/>
  <c r="I46" i="3"/>
  <c r="J46" i="3"/>
  <c r="P46" i="3"/>
  <c r="Q46" i="3"/>
  <c r="U46" i="3" s="1"/>
  <c r="C47" i="3"/>
  <c r="I47" i="3"/>
  <c r="J47" i="3"/>
  <c r="P47" i="3"/>
  <c r="U47" i="3" s="1"/>
  <c r="Q47" i="3"/>
  <c r="C48" i="3"/>
  <c r="I48" i="3"/>
  <c r="J48" i="3"/>
  <c r="P48" i="3"/>
  <c r="Q48" i="3"/>
  <c r="U48" i="3" s="1"/>
  <c r="C49" i="3"/>
  <c r="I49" i="3"/>
  <c r="J49" i="3"/>
  <c r="P49" i="3"/>
  <c r="U49" i="3" s="1"/>
  <c r="Q49" i="3"/>
  <c r="C50" i="3"/>
  <c r="I50" i="3"/>
  <c r="J50" i="3"/>
  <c r="P50" i="3"/>
  <c r="Q50" i="3"/>
  <c r="U50" i="3" s="1"/>
  <c r="C51" i="3"/>
  <c r="I51" i="3"/>
  <c r="J51" i="3"/>
  <c r="P51" i="3"/>
  <c r="U51" i="3" s="1"/>
  <c r="Q51" i="3"/>
  <c r="C52" i="3"/>
  <c r="I52" i="3"/>
  <c r="J52" i="3"/>
  <c r="P52" i="3"/>
  <c r="Q52" i="3"/>
  <c r="U52" i="3" s="1"/>
  <c r="C53" i="3"/>
  <c r="I53" i="3"/>
  <c r="J53" i="3"/>
  <c r="P53" i="3"/>
  <c r="U53" i="3" s="1"/>
  <c r="Q53" i="3"/>
  <c r="C54" i="3"/>
  <c r="I54" i="3"/>
  <c r="J54" i="3"/>
  <c r="P54" i="3"/>
  <c r="Q54" i="3"/>
  <c r="U54" i="3" s="1"/>
  <c r="C55" i="3"/>
  <c r="I55" i="3"/>
  <c r="J55" i="3"/>
  <c r="P55" i="3"/>
  <c r="U55" i="3" s="1"/>
  <c r="Q55" i="3"/>
  <c r="C56" i="3"/>
  <c r="I56" i="3"/>
  <c r="J56" i="3"/>
  <c r="P56" i="3"/>
  <c r="Q56" i="3"/>
  <c r="U56" i="3" s="1"/>
  <c r="C57" i="3"/>
  <c r="I57" i="3"/>
  <c r="J57" i="3"/>
  <c r="P57" i="3"/>
  <c r="U57" i="3" s="1"/>
  <c r="Q57" i="3"/>
  <c r="C58" i="3"/>
  <c r="I58" i="3"/>
  <c r="J58" i="3"/>
  <c r="P58" i="3"/>
  <c r="Q58" i="3"/>
  <c r="U58" i="3" s="1"/>
  <c r="C59" i="3"/>
  <c r="I59" i="3"/>
  <c r="J59" i="3"/>
  <c r="P59" i="3"/>
  <c r="U59" i="3" s="1"/>
  <c r="Q59" i="3"/>
  <c r="C60" i="3"/>
  <c r="I60" i="3"/>
  <c r="J60" i="3"/>
  <c r="P60" i="3"/>
  <c r="Q60" i="3"/>
  <c r="U60" i="3" s="1"/>
  <c r="C61" i="3"/>
  <c r="I61" i="3"/>
  <c r="J61" i="3"/>
  <c r="P61" i="3"/>
  <c r="U61" i="3" s="1"/>
  <c r="Q61" i="3"/>
  <c r="C62" i="3"/>
  <c r="I62" i="3"/>
  <c r="J62" i="3"/>
  <c r="P62" i="3"/>
  <c r="Q62" i="3"/>
  <c r="U62" i="3" s="1"/>
  <c r="C63" i="3"/>
  <c r="I63" i="3"/>
  <c r="J63" i="3"/>
  <c r="P63" i="3"/>
  <c r="U63" i="3" s="1"/>
  <c r="Q63" i="3"/>
  <c r="C64" i="3"/>
  <c r="I64" i="3"/>
  <c r="J64" i="3"/>
  <c r="P64" i="3"/>
  <c r="Q64" i="3"/>
  <c r="U64" i="3" s="1"/>
  <c r="C65" i="3"/>
  <c r="I65" i="3"/>
  <c r="J65" i="3"/>
  <c r="P65" i="3"/>
  <c r="U65" i="3" s="1"/>
  <c r="Q65" i="3"/>
  <c r="C66" i="3"/>
  <c r="I66" i="3"/>
  <c r="J66" i="3"/>
  <c r="P66" i="3"/>
  <c r="Q66" i="3"/>
  <c r="U66" i="3" s="1"/>
  <c r="C67" i="3"/>
  <c r="I67" i="3"/>
  <c r="J67" i="3"/>
  <c r="P67" i="3"/>
  <c r="U67" i="3" s="1"/>
  <c r="Q67" i="3"/>
  <c r="C68" i="3"/>
  <c r="I68" i="3"/>
  <c r="J68" i="3"/>
  <c r="P68" i="3"/>
  <c r="Q68" i="3"/>
  <c r="U68" i="3" s="1"/>
  <c r="C69" i="3"/>
  <c r="I69" i="3"/>
  <c r="J69" i="3"/>
  <c r="P69" i="3"/>
  <c r="U69" i="3" s="1"/>
  <c r="Q69" i="3"/>
  <c r="C70" i="3"/>
  <c r="I70" i="3"/>
  <c r="J70" i="3"/>
  <c r="P70" i="3"/>
  <c r="Q70" i="3"/>
  <c r="U70" i="3" s="1"/>
  <c r="C71" i="3"/>
  <c r="I71" i="3"/>
  <c r="J71" i="3"/>
  <c r="P71" i="3"/>
  <c r="U71" i="3" s="1"/>
  <c r="Q71" i="3"/>
  <c r="C72" i="3"/>
  <c r="I72" i="3"/>
  <c r="J72" i="3"/>
  <c r="P72" i="3"/>
  <c r="Q72" i="3"/>
  <c r="U72" i="3" s="1"/>
  <c r="C73" i="3"/>
  <c r="I73" i="3"/>
  <c r="J73" i="3"/>
  <c r="P73" i="3"/>
  <c r="U73" i="3" s="1"/>
  <c r="Q73" i="3"/>
  <c r="C74" i="3"/>
  <c r="I74" i="3"/>
  <c r="J74" i="3"/>
  <c r="P74" i="3"/>
  <c r="Q74" i="3"/>
  <c r="U74" i="3" s="1"/>
  <c r="C75" i="3"/>
  <c r="I75" i="3"/>
  <c r="J75" i="3"/>
  <c r="P75" i="3"/>
  <c r="U75" i="3" s="1"/>
  <c r="Q75" i="3"/>
  <c r="C76" i="3"/>
  <c r="I76" i="3"/>
  <c r="J76" i="3"/>
  <c r="P76" i="3"/>
  <c r="Q76" i="3"/>
  <c r="U76" i="3" s="1"/>
  <c r="C77" i="3"/>
  <c r="I77" i="3"/>
  <c r="J77" i="3"/>
  <c r="P77" i="3"/>
  <c r="U77" i="3" s="1"/>
  <c r="Q77" i="3"/>
  <c r="C78" i="3"/>
  <c r="I78" i="3"/>
  <c r="J78" i="3"/>
  <c r="P78" i="3"/>
  <c r="Q78" i="3"/>
  <c r="U78" i="3" s="1"/>
  <c r="C79" i="3"/>
  <c r="I79" i="3"/>
  <c r="J79" i="3"/>
  <c r="P79" i="3"/>
  <c r="U79" i="3" s="1"/>
  <c r="Q79" i="3"/>
  <c r="C80" i="3"/>
  <c r="I80" i="3"/>
  <c r="J80" i="3"/>
  <c r="P80" i="3"/>
  <c r="Q80" i="3"/>
  <c r="U80" i="3" s="1"/>
  <c r="C81" i="3"/>
  <c r="I81" i="3"/>
  <c r="J81" i="3"/>
  <c r="P81" i="3"/>
  <c r="U81" i="3" s="1"/>
  <c r="Q81" i="3"/>
  <c r="C82" i="3"/>
  <c r="I82" i="3"/>
  <c r="J82" i="3"/>
  <c r="P82" i="3"/>
  <c r="Q82" i="3"/>
  <c r="U82" i="3" s="1"/>
  <c r="C83" i="3"/>
  <c r="I83" i="3"/>
  <c r="J83" i="3"/>
  <c r="P83" i="3"/>
  <c r="U83" i="3" s="1"/>
  <c r="Q83" i="3"/>
  <c r="C84" i="3"/>
  <c r="I84" i="3"/>
  <c r="J84" i="3"/>
  <c r="P84" i="3"/>
  <c r="Q84" i="3"/>
  <c r="U84" i="3" s="1"/>
  <c r="C85" i="3"/>
  <c r="I85" i="3"/>
  <c r="J85" i="3"/>
  <c r="P85" i="3"/>
  <c r="U85" i="3" s="1"/>
  <c r="Q85" i="3"/>
  <c r="C86" i="3"/>
  <c r="I86" i="3"/>
  <c r="J86" i="3"/>
  <c r="P86" i="3"/>
  <c r="Q86" i="3"/>
  <c r="U86" i="3" s="1"/>
  <c r="C87" i="3"/>
  <c r="I87" i="3"/>
  <c r="J87" i="3"/>
  <c r="P87" i="3"/>
  <c r="U87" i="3" s="1"/>
  <c r="Q87" i="3"/>
  <c r="C88" i="3"/>
  <c r="I88" i="3"/>
  <c r="J88" i="3"/>
  <c r="P88" i="3"/>
  <c r="Q88" i="3"/>
  <c r="U88" i="3" s="1"/>
  <c r="C89" i="3"/>
  <c r="I89" i="3"/>
  <c r="J89" i="3"/>
  <c r="P89" i="3"/>
  <c r="U89" i="3" s="1"/>
  <c r="Q89" i="3"/>
  <c r="C90" i="3"/>
  <c r="I90" i="3"/>
  <c r="J90" i="3"/>
  <c r="P90" i="3"/>
  <c r="Q90" i="3"/>
  <c r="U90" i="3" s="1"/>
  <c r="C91" i="3"/>
  <c r="I91" i="3"/>
  <c r="J91" i="3"/>
  <c r="P91" i="3"/>
  <c r="U91" i="3" s="1"/>
  <c r="Q91" i="3"/>
  <c r="C92" i="3"/>
  <c r="I92" i="3"/>
  <c r="J92" i="3"/>
  <c r="P92" i="3"/>
  <c r="Q92" i="3"/>
  <c r="U92" i="3" s="1"/>
  <c r="C93" i="3"/>
  <c r="I93" i="3"/>
  <c r="J93" i="3"/>
  <c r="P93" i="3"/>
  <c r="U93" i="3" s="1"/>
  <c r="Q93" i="3"/>
  <c r="C94" i="3"/>
  <c r="I94" i="3"/>
  <c r="J94" i="3"/>
  <c r="P94" i="3"/>
  <c r="Q94" i="3"/>
  <c r="U94" i="3" s="1"/>
  <c r="C95" i="3"/>
  <c r="I95" i="3"/>
  <c r="J95" i="3"/>
  <c r="P95" i="3"/>
  <c r="U95" i="3" s="1"/>
  <c r="Q95" i="3"/>
  <c r="C96" i="3"/>
  <c r="I96" i="3"/>
  <c r="J96" i="3"/>
  <c r="P96" i="3"/>
  <c r="Q96" i="3"/>
  <c r="U96" i="3" s="1"/>
  <c r="C97" i="3"/>
  <c r="I97" i="3"/>
  <c r="J97" i="3"/>
  <c r="P97" i="3"/>
  <c r="U97" i="3" s="1"/>
  <c r="Q97" i="3"/>
  <c r="C98" i="3"/>
  <c r="I98" i="3"/>
  <c r="J98" i="3"/>
  <c r="P98" i="3"/>
  <c r="Q98" i="3"/>
  <c r="U98" i="3" s="1"/>
  <c r="C99" i="3"/>
  <c r="I99" i="3"/>
  <c r="J99" i="3"/>
  <c r="P99" i="3"/>
  <c r="U99" i="3" s="1"/>
  <c r="Q99" i="3"/>
  <c r="C100" i="3"/>
  <c r="I100" i="3"/>
  <c r="J100" i="3"/>
  <c r="P100" i="3"/>
  <c r="Q100" i="3"/>
  <c r="U100" i="3" s="1"/>
  <c r="C101" i="3"/>
  <c r="I101" i="3"/>
  <c r="J101" i="3"/>
  <c r="P101" i="3"/>
  <c r="U101" i="3" s="1"/>
  <c r="Q101" i="3"/>
  <c r="C102" i="3"/>
  <c r="I102" i="3"/>
  <c r="J102" i="3"/>
  <c r="P102" i="3"/>
  <c r="Q102" i="3"/>
  <c r="U102" i="3" s="1"/>
  <c r="C103" i="3"/>
  <c r="I103" i="3"/>
  <c r="J103" i="3"/>
  <c r="P103" i="3"/>
  <c r="U103" i="3" s="1"/>
  <c r="Q103" i="3"/>
  <c r="C104" i="3"/>
  <c r="I104" i="3"/>
  <c r="J104" i="3"/>
  <c r="P104" i="3"/>
  <c r="Q104" i="3"/>
  <c r="U104" i="3" s="1"/>
  <c r="C105" i="3"/>
  <c r="I105" i="3"/>
  <c r="J105" i="3"/>
  <c r="P105" i="3"/>
  <c r="U105" i="3" s="1"/>
  <c r="Q105" i="3"/>
  <c r="C106" i="3"/>
  <c r="I106" i="3"/>
  <c r="J106" i="3"/>
  <c r="P106" i="3"/>
  <c r="Q106" i="3"/>
  <c r="U106" i="3" s="1"/>
  <c r="C107" i="3"/>
  <c r="I107" i="3"/>
  <c r="J107" i="3"/>
  <c r="P107" i="3"/>
  <c r="U107" i="3" s="1"/>
  <c r="Q107" i="3"/>
  <c r="C108" i="3"/>
  <c r="I108" i="3"/>
  <c r="J108" i="3"/>
  <c r="P108" i="3"/>
  <c r="Q108" i="3"/>
  <c r="U108" i="3" s="1"/>
  <c r="C109" i="3"/>
  <c r="I109" i="3"/>
  <c r="J109" i="3"/>
  <c r="P109" i="3"/>
  <c r="U109" i="3" s="1"/>
  <c r="Q109" i="3"/>
  <c r="C110" i="3"/>
  <c r="I110" i="3"/>
  <c r="J110" i="3"/>
  <c r="P110" i="3"/>
  <c r="Q110" i="3"/>
  <c r="U110" i="3" s="1"/>
  <c r="C111" i="3"/>
  <c r="I111" i="3"/>
  <c r="J111" i="3"/>
  <c r="P111" i="3"/>
  <c r="U111" i="3" s="1"/>
  <c r="Q111" i="3"/>
  <c r="C11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A12" i="2"/>
  <c r="B12" i="2"/>
  <c r="C12" i="2"/>
  <c r="E12" i="2"/>
  <c r="F12" i="2"/>
  <c r="A13" i="2"/>
  <c r="B13" i="2"/>
  <c r="E13" i="2"/>
  <c r="F13" i="2"/>
  <c r="A14" i="2"/>
  <c r="B14" i="2"/>
  <c r="E14" i="2"/>
  <c r="F14" i="2"/>
  <c r="A15" i="2"/>
  <c r="B15" i="2"/>
  <c r="E15" i="2"/>
  <c r="F15" i="2"/>
  <c r="A16" i="2"/>
  <c r="B16" i="2"/>
  <c r="E16" i="2"/>
  <c r="F16" i="2"/>
  <c r="A17" i="2"/>
  <c r="B17" i="2"/>
  <c r="E17" i="2"/>
  <c r="F17" i="2"/>
  <c r="A18" i="2"/>
  <c r="B18" i="2"/>
  <c r="E18" i="2"/>
  <c r="F18" i="2"/>
  <c r="A19" i="2"/>
  <c r="B19" i="2"/>
  <c r="E19" i="2"/>
  <c r="F19" i="2"/>
  <c r="A20" i="2"/>
  <c r="B20" i="2"/>
  <c r="E20" i="2"/>
  <c r="F20" i="2"/>
  <c r="A21" i="2"/>
  <c r="B21" i="2"/>
  <c r="E21" i="2"/>
  <c r="F21" i="2"/>
  <c r="A22" i="2"/>
  <c r="B22" i="2"/>
  <c r="E22" i="2"/>
  <c r="F22" i="2"/>
  <c r="A23" i="2"/>
  <c r="B23" i="2"/>
  <c r="E23" i="2"/>
  <c r="F23" i="2"/>
  <c r="A24" i="2"/>
  <c r="B24" i="2"/>
  <c r="E24" i="2"/>
  <c r="F24" i="2"/>
  <c r="A25" i="2"/>
  <c r="B25" i="2"/>
  <c r="E25" i="2"/>
  <c r="F25" i="2"/>
  <c r="A26" i="2"/>
  <c r="B26" i="2"/>
  <c r="E26" i="2"/>
  <c r="F26" i="2"/>
  <c r="A27" i="2"/>
  <c r="B27" i="2"/>
  <c r="E27" i="2"/>
  <c r="F27" i="2"/>
  <c r="A28" i="2"/>
  <c r="B28" i="2"/>
  <c r="E28" i="2"/>
  <c r="F28" i="2"/>
  <c r="A29" i="2"/>
  <c r="B29" i="2"/>
  <c r="E29" i="2"/>
  <c r="F29" i="2"/>
  <c r="A30" i="2"/>
  <c r="B30" i="2"/>
  <c r="E30" i="2"/>
  <c r="F30" i="2"/>
  <c r="A31" i="2"/>
  <c r="B31" i="2"/>
  <c r="E31" i="2"/>
  <c r="F31" i="2"/>
  <c r="A32" i="2"/>
  <c r="B32" i="2"/>
  <c r="E32" i="2"/>
  <c r="F32" i="2"/>
  <c r="A33" i="2"/>
  <c r="B33" i="2"/>
  <c r="E33" i="2"/>
  <c r="F33" i="2"/>
  <c r="A34" i="2"/>
  <c r="B34" i="2"/>
  <c r="E34" i="2"/>
  <c r="F34" i="2"/>
  <c r="A35" i="2"/>
  <c r="B35" i="2"/>
  <c r="E35" i="2"/>
  <c r="F35" i="2"/>
  <c r="A36" i="2"/>
  <c r="B36" i="2"/>
  <c r="E36" i="2"/>
  <c r="F36" i="2"/>
  <c r="A37" i="2"/>
  <c r="B37" i="2"/>
  <c r="E37" i="2"/>
  <c r="F37" i="2"/>
  <c r="A38" i="2"/>
  <c r="B38" i="2"/>
  <c r="E38" i="2"/>
  <c r="F38" i="2"/>
  <c r="A39" i="2"/>
  <c r="B39" i="2"/>
  <c r="E39" i="2"/>
  <c r="F39" i="2"/>
  <c r="A40" i="2"/>
  <c r="B40" i="2"/>
  <c r="E40" i="2"/>
  <c r="F40" i="2"/>
  <c r="A41" i="2"/>
  <c r="B41" i="2"/>
  <c r="E41" i="2"/>
  <c r="F41" i="2"/>
  <c r="A42" i="2"/>
  <c r="B42" i="2"/>
  <c r="E42" i="2"/>
  <c r="F42" i="2"/>
  <c r="A43" i="2"/>
  <c r="B43" i="2"/>
  <c r="E43" i="2"/>
  <c r="F43" i="2"/>
  <c r="A44" i="2"/>
  <c r="B44" i="2"/>
  <c r="E44" i="2"/>
  <c r="F44" i="2"/>
  <c r="A45" i="2"/>
  <c r="B45" i="2"/>
  <c r="E45" i="2"/>
  <c r="F45" i="2"/>
  <c r="A46" i="2"/>
  <c r="B46" i="2"/>
  <c r="E46" i="2"/>
  <c r="F46" i="2"/>
  <c r="A47" i="2"/>
  <c r="B47" i="2"/>
  <c r="E47" i="2"/>
  <c r="F47" i="2"/>
  <c r="A48" i="2"/>
  <c r="B48" i="2"/>
  <c r="E48" i="2"/>
  <c r="F48" i="2"/>
  <c r="A49" i="2"/>
  <c r="B49" i="2"/>
  <c r="E49" i="2"/>
  <c r="F49" i="2"/>
  <c r="A50" i="2"/>
  <c r="B50" i="2"/>
  <c r="E50" i="2"/>
  <c r="F50" i="2"/>
  <c r="A51" i="2"/>
  <c r="B51" i="2"/>
  <c r="E51" i="2"/>
  <c r="F51" i="2"/>
  <c r="A52" i="2"/>
  <c r="B52" i="2"/>
  <c r="E52" i="2"/>
  <c r="F52" i="2"/>
  <c r="A53" i="2"/>
  <c r="B53" i="2"/>
  <c r="E53" i="2"/>
  <c r="F53" i="2"/>
  <c r="A54" i="2"/>
  <c r="B54" i="2"/>
  <c r="E54" i="2"/>
  <c r="F54" i="2"/>
  <c r="A55" i="2"/>
  <c r="B55" i="2"/>
  <c r="E55" i="2"/>
  <c r="F55" i="2"/>
  <c r="A56" i="2"/>
  <c r="B56" i="2"/>
  <c r="E56" i="2"/>
  <c r="F56" i="2"/>
  <c r="A57" i="2"/>
  <c r="B57" i="2"/>
  <c r="E57" i="2"/>
  <c r="F57" i="2"/>
  <c r="A58" i="2"/>
  <c r="B58" i="2"/>
  <c r="E58" i="2"/>
  <c r="F58" i="2"/>
  <c r="A59" i="2"/>
  <c r="B59" i="2"/>
  <c r="E59" i="2"/>
  <c r="F59" i="2"/>
  <c r="A60" i="2"/>
  <c r="B60" i="2"/>
  <c r="E60" i="2"/>
  <c r="F60" i="2"/>
  <c r="A61" i="2"/>
  <c r="B61" i="2"/>
  <c r="E61" i="2"/>
  <c r="F61" i="2"/>
  <c r="A62" i="2"/>
  <c r="B62" i="2"/>
  <c r="E62" i="2"/>
  <c r="F62" i="2"/>
  <c r="A63" i="2"/>
  <c r="B63" i="2"/>
  <c r="E63" i="2"/>
  <c r="F63" i="2"/>
  <c r="A64" i="2"/>
  <c r="B64" i="2"/>
  <c r="E64" i="2"/>
  <c r="F64" i="2"/>
  <c r="A65" i="2"/>
  <c r="B65" i="2"/>
  <c r="E65" i="2"/>
  <c r="F65" i="2"/>
  <c r="A66" i="2"/>
  <c r="B66" i="2"/>
  <c r="E66" i="2"/>
  <c r="F66" i="2"/>
  <c r="A67" i="2"/>
  <c r="B67" i="2"/>
  <c r="E67" i="2"/>
  <c r="F67" i="2"/>
  <c r="A68" i="2"/>
  <c r="B68" i="2"/>
  <c r="E68" i="2"/>
  <c r="F68" i="2"/>
  <c r="A69" i="2"/>
  <c r="B69" i="2"/>
  <c r="E69" i="2"/>
  <c r="F69" i="2"/>
  <c r="A70" i="2"/>
  <c r="B70" i="2"/>
  <c r="E70" i="2"/>
  <c r="F70" i="2"/>
  <c r="A71" i="2"/>
  <c r="B71" i="2"/>
  <c r="E71" i="2"/>
  <c r="F71" i="2"/>
  <c r="A72" i="2"/>
  <c r="B72" i="2"/>
  <c r="E72" i="2"/>
  <c r="F72" i="2"/>
  <c r="A73" i="2"/>
  <c r="B73" i="2"/>
  <c r="E73" i="2"/>
  <c r="F73" i="2"/>
  <c r="A74" i="2"/>
  <c r="B74" i="2"/>
  <c r="E74" i="2"/>
  <c r="F74" i="2"/>
  <c r="A75" i="2"/>
  <c r="B75" i="2"/>
  <c r="E75" i="2"/>
  <c r="F75" i="2"/>
  <c r="A76" i="2"/>
  <c r="B76" i="2"/>
  <c r="E76" i="2"/>
  <c r="F76" i="2"/>
  <c r="A77" i="2"/>
  <c r="B77" i="2"/>
  <c r="E77" i="2"/>
  <c r="F77" i="2"/>
  <c r="A78" i="2"/>
  <c r="B78" i="2"/>
  <c r="E78" i="2"/>
  <c r="F78" i="2"/>
  <c r="A79" i="2"/>
  <c r="B79" i="2"/>
  <c r="E79" i="2"/>
  <c r="F79" i="2"/>
  <c r="A80" i="2"/>
  <c r="B80" i="2"/>
  <c r="E80" i="2"/>
  <c r="F80" i="2"/>
  <c r="A81" i="2"/>
  <c r="B81" i="2"/>
  <c r="E81" i="2"/>
  <c r="F81" i="2"/>
  <c r="A82" i="2"/>
  <c r="B82" i="2"/>
  <c r="E82" i="2"/>
  <c r="F82" i="2"/>
  <c r="A83" i="2"/>
  <c r="B83" i="2"/>
  <c r="E83" i="2"/>
  <c r="F83" i="2"/>
  <c r="A84" i="2"/>
  <c r="B84" i="2"/>
  <c r="E84" i="2"/>
  <c r="F84" i="2"/>
  <c r="A85" i="2"/>
  <c r="B85" i="2"/>
  <c r="E85" i="2"/>
  <c r="F85" i="2"/>
  <c r="A86" i="2"/>
  <c r="B86" i="2"/>
  <c r="E86" i="2"/>
  <c r="F86" i="2"/>
  <c r="A87" i="2"/>
  <c r="B87" i="2"/>
  <c r="E87" i="2"/>
  <c r="F87" i="2"/>
  <c r="A88" i="2"/>
  <c r="B88" i="2"/>
  <c r="E88" i="2"/>
  <c r="F88" i="2"/>
  <c r="A89" i="2"/>
  <c r="B89" i="2"/>
  <c r="E89" i="2"/>
  <c r="F89" i="2"/>
  <c r="A90" i="2"/>
  <c r="B90" i="2"/>
  <c r="E90" i="2"/>
  <c r="F90" i="2"/>
  <c r="A91" i="2"/>
  <c r="B91" i="2"/>
  <c r="E91" i="2"/>
  <c r="F91" i="2"/>
  <c r="A92" i="2"/>
  <c r="B92" i="2"/>
  <c r="E92" i="2"/>
  <c r="F92" i="2"/>
  <c r="A93" i="2"/>
  <c r="B93" i="2"/>
  <c r="E93" i="2"/>
  <c r="F93" i="2"/>
  <c r="A94" i="2"/>
  <c r="B94" i="2"/>
  <c r="E94" i="2"/>
  <c r="F94" i="2"/>
  <c r="A95" i="2"/>
  <c r="B95" i="2"/>
  <c r="E95" i="2"/>
  <c r="F95" i="2"/>
  <c r="A96" i="2"/>
  <c r="B96" i="2"/>
  <c r="E96" i="2"/>
  <c r="F96" i="2"/>
  <c r="A97" i="2"/>
  <c r="B97" i="2"/>
  <c r="E97" i="2"/>
  <c r="F97" i="2"/>
  <c r="A98" i="2"/>
  <c r="B98" i="2"/>
  <c r="E98" i="2"/>
  <c r="F98" i="2"/>
  <c r="A99" i="2"/>
  <c r="B99" i="2"/>
  <c r="E99" i="2"/>
  <c r="F99" i="2"/>
  <c r="A100" i="2"/>
  <c r="B100" i="2"/>
  <c r="E100" i="2"/>
  <c r="F100" i="2"/>
  <c r="A101" i="2"/>
  <c r="B101" i="2"/>
  <c r="E101" i="2"/>
  <c r="F101" i="2"/>
  <c r="A102" i="2"/>
  <c r="B102" i="2"/>
  <c r="E102" i="2"/>
  <c r="F102" i="2"/>
  <c r="A103" i="2"/>
  <c r="B103" i="2"/>
  <c r="E103" i="2"/>
  <c r="F103" i="2"/>
  <c r="A104" i="2"/>
  <c r="B104" i="2"/>
  <c r="E104" i="2"/>
  <c r="F104" i="2"/>
  <c r="A105" i="2"/>
  <c r="B105" i="2"/>
  <c r="E105" i="2"/>
  <c r="F105" i="2"/>
  <c r="A106" i="2"/>
  <c r="B106" i="2"/>
  <c r="E106" i="2"/>
  <c r="F106" i="2"/>
  <c r="A107" i="2"/>
  <c r="B107" i="2"/>
  <c r="E107" i="2"/>
  <c r="F107" i="2"/>
  <c r="A108" i="2"/>
  <c r="B108" i="2"/>
  <c r="E108" i="2"/>
  <c r="F108" i="2"/>
  <c r="A109" i="2"/>
  <c r="B109" i="2"/>
  <c r="E109" i="2"/>
  <c r="F109" i="2"/>
  <c r="A110" i="2"/>
  <c r="B110" i="2"/>
  <c r="E110" i="2"/>
  <c r="F110" i="2"/>
  <c r="A11" i="1"/>
  <c r="B11" i="1"/>
  <c r="C11" i="1"/>
  <c r="D11" i="1"/>
  <c r="E11" i="1"/>
  <c r="F11" i="1"/>
  <c r="G11" i="1"/>
  <c r="H11" i="1"/>
  <c r="I11" i="1"/>
  <c r="J11" i="1"/>
  <c r="K11" i="1"/>
  <c r="A12" i="1"/>
  <c r="B12" i="1"/>
  <c r="C12" i="1"/>
  <c r="D12" i="1"/>
  <c r="E12" i="1"/>
  <c r="F12" i="1"/>
  <c r="G12" i="1"/>
  <c r="H12" i="1"/>
  <c r="I12" i="1"/>
  <c r="J12" i="1"/>
  <c r="K12" i="1"/>
  <c r="A13" i="1"/>
  <c r="B13" i="1"/>
  <c r="C13" i="1"/>
  <c r="D13" i="1"/>
  <c r="E13" i="1"/>
  <c r="F13" i="1"/>
  <c r="G13" i="1"/>
  <c r="H13" i="1"/>
  <c r="I13" i="1"/>
  <c r="J13" i="1"/>
  <c r="K13" i="1"/>
  <c r="A14" i="1"/>
  <c r="B14" i="1"/>
  <c r="C14" i="1"/>
  <c r="D14" i="1"/>
  <c r="E14" i="1"/>
  <c r="F14" i="1"/>
  <c r="G14" i="1"/>
  <c r="H14" i="1"/>
  <c r="I14" i="1"/>
  <c r="J14" i="1"/>
  <c r="K14" i="1"/>
  <c r="A15" i="1"/>
  <c r="B15" i="1"/>
  <c r="C15" i="1"/>
  <c r="D15" i="1"/>
  <c r="E15" i="1"/>
  <c r="F15" i="1"/>
  <c r="G15" i="1"/>
  <c r="H15" i="1"/>
  <c r="I15" i="1"/>
  <c r="J15" i="1"/>
  <c r="K15" i="1"/>
  <c r="A16" i="1"/>
  <c r="B16" i="1"/>
  <c r="C16" i="1"/>
  <c r="D16" i="1"/>
  <c r="E16" i="1"/>
  <c r="F16" i="1"/>
  <c r="G16" i="1"/>
  <c r="H16" i="1"/>
  <c r="I16" i="1"/>
  <c r="J16" i="1"/>
  <c r="K16" i="1"/>
  <c r="A17" i="1"/>
  <c r="B17" i="1"/>
  <c r="C17" i="1"/>
  <c r="D17" i="1"/>
  <c r="E17" i="1"/>
  <c r="F17" i="1"/>
  <c r="G17" i="1"/>
  <c r="H17" i="1"/>
  <c r="I17" i="1"/>
  <c r="J17" i="1"/>
  <c r="K17" i="1"/>
  <c r="A18" i="1"/>
  <c r="B18" i="1"/>
  <c r="C18" i="1"/>
  <c r="D18" i="1"/>
  <c r="E18" i="1"/>
  <c r="F18" i="1"/>
  <c r="G18" i="1"/>
  <c r="H18" i="1"/>
  <c r="I18" i="1"/>
  <c r="J18" i="1"/>
  <c r="K18" i="1"/>
  <c r="A19" i="1"/>
  <c r="B19" i="1"/>
  <c r="C19" i="1"/>
  <c r="D19" i="1"/>
  <c r="E19" i="1"/>
  <c r="F19" i="1"/>
  <c r="G19" i="1"/>
  <c r="H19" i="1"/>
  <c r="I19" i="1"/>
  <c r="J19" i="1"/>
  <c r="K19" i="1"/>
  <c r="A20" i="1"/>
  <c r="B20" i="1"/>
  <c r="C20" i="1"/>
  <c r="D20" i="1"/>
  <c r="E20" i="1"/>
  <c r="F20" i="1"/>
  <c r="G20" i="1"/>
  <c r="H20" i="1"/>
  <c r="I20" i="1"/>
  <c r="J20" i="1"/>
  <c r="K20" i="1"/>
  <c r="A21" i="1"/>
  <c r="B21" i="1"/>
  <c r="C21" i="1"/>
  <c r="D21" i="1"/>
  <c r="E21" i="1"/>
  <c r="F21" i="1"/>
  <c r="G21" i="1"/>
  <c r="H21" i="1"/>
  <c r="I21" i="1"/>
  <c r="J21" i="1"/>
  <c r="K21" i="1"/>
  <c r="A22" i="1"/>
  <c r="B22" i="1"/>
  <c r="C22" i="1"/>
  <c r="D22" i="1"/>
  <c r="E22" i="1"/>
  <c r="F22" i="1"/>
  <c r="G22" i="1"/>
  <c r="H22" i="1"/>
  <c r="I22" i="1"/>
  <c r="J22" i="1"/>
  <c r="K22" i="1"/>
  <c r="A23" i="1"/>
  <c r="B23" i="1"/>
  <c r="C23" i="1"/>
  <c r="D23" i="1"/>
  <c r="E23" i="1"/>
  <c r="F23" i="1"/>
  <c r="G23" i="1"/>
  <c r="H23" i="1"/>
  <c r="I23" i="1"/>
  <c r="J23" i="1"/>
  <c r="K23" i="1"/>
  <c r="A24" i="1"/>
  <c r="B24" i="1"/>
  <c r="C24" i="1"/>
  <c r="D24" i="1"/>
  <c r="E24" i="1"/>
  <c r="F24" i="1"/>
  <c r="G24" i="1"/>
  <c r="H24" i="1"/>
  <c r="I24" i="1"/>
  <c r="J24" i="1"/>
  <c r="K24" i="1"/>
  <c r="A25" i="1"/>
  <c r="B25" i="1"/>
  <c r="C25" i="1"/>
  <c r="D25" i="1"/>
  <c r="E25" i="1"/>
  <c r="F25" i="1"/>
  <c r="G25" i="1"/>
  <c r="H25" i="1"/>
  <c r="I25" i="1"/>
  <c r="J25" i="1"/>
  <c r="K25" i="1"/>
  <c r="A26" i="1"/>
  <c r="B26" i="1"/>
  <c r="C26" i="1"/>
  <c r="D26" i="1"/>
  <c r="E26" i="1"/>
  <c r="F26" i="1"/>
  <c r="G26" i="1"/>
  <c r="H26" i="1"/>
  <c r="I26" i="1"/>
  <c r="J26" i="1"/>
  <c r="K26" i="1"/>
  <c r="A27" i="1"/>
  <c r="B27" i="1"/>
  <c r="C27" i="1"/>
  <c r="D27" i="1"/>
  <c r="E27" i="1"/>
  <c r="F27" i="1"/>
  <c r="G27" i="1"/>
  <c r="H27" i="1"/>
  <c r="I27" i="1"/>
  <c r="J27" i="1"/>
  <c r="K27" i="1"/>
  <c r="A28" i="1"/>
  <c r="B28" i="1"/>
  <c r="C28" i="1"/>
  <c r="D28" i="1"/>
  <c r="E28" i="1"/>
  <c r="F28" i="1"/>
  <c r="G28" i="1"/>
  <c r="H28" i="1"/>
  <c r="I28" i="1"/>
  <c r="J28" i="1"/>
  <c r="K28" i="1"/>
  <c r="A29" i="1"/>
  <c r="B29" i="1"/>
  <c r="C29" i="1"/>
  <c r="D29" i="1"/>
  <c r="E29" i="1"/>
  <c r="F29" i="1"/>
  <c r="G29" i="1"/>
  <c r="H29" i="1"/>
  <c r="I29" i="1"/>
  <c r="J29" i="1"/>
  <c r="K29" i="1"/>
  <c r="A30" i="1"/>
  <c r="B30" i="1"/>
  <c r="C30" i="1"/>
  <c r="D30" i="1"/>
  <c r="E30" i="1"/>
  <c r="F30" i="1"/>
  <c r="G30" i="1"/>
  <c r="H30" i="1"/>
  <c r="I30" i="1"/>
  <c r="J30" i="1"/>
  <c r="K30" i="1"/>
  <c r="A31" i="1"/>
  <c r="B31" i="1"/>
  <c r="C31" i="1"/>
  <c r="D31" i="1"/>
  <c r="E31" i="1"/>
  <c r="F31" i="1"/>
  <c r="G31" i="1"/>
  <c r="H31" i="1"/>
  <c r="I31" i="1"/>
  <c r="J31" i="1"/>
  <c r="K31" i="1"/>
  <c r="A32" i="1"/>
  <c r="B32" i="1"/>
  <c r="C32" i="1"/>
  <c r="D32" i="1"/>
  <c r="E32" i="1"/>
  <c r="F32" i="1"/>
  <c r="G32" i="1"/>
  <c r="H32" i="1"/>
  <c r="I32" i="1"/>
  <c r="J32" i="1"/>
  <c r="K32" i="1"/>
  <c r="A33" i="1"/>
  <c r="B33" i="1"/>
  <c r="C33" i="1"/>
  <c r="D33" i="1"/>
  <c r="E33" i="1"/>
  <c r="F33" i="1"/>
  <c r="G33" i="1"/>
  <c r="H33" i="1"/>
  <c r="I33" i="1"/>
  <c r="J33" i="1"/>
  <c r="K33" i="1"/>
  <c r="A34" i="1"/>
  <c r="B34" i="1"/>
  <c r="C34" i="1"/>
  <c r="D34" i="1"/>
  <c r="E34" i="1"/>
  <c r="F34" i="1"/>
  <c r="G34" i="1"/>
  <c r="H34" i="1"/>
  <c r="I34" i="1"/>
  <c r="J34" i="1"/>
  <c r="K34" i="1"/>
  <c r="A35" i="1"/>
  <c r="B35" i="1"/>
  <c r="C35" i="1"/>
  <c r="D35" i="1"/>
  <c r="E35" i="1"/>
  <c r="F35" i="1"/>
  <c r="G35" i="1"/>
  <c r="H35" i="1"/>
  <c r="I35" i="1"/>
  <c r="J35" i="1"/>
  <c r="K35" i="1"/>
  <c r="A36" i="1"/>
  <c r="B36" i="1"/>
  <c r="C36" i="1"/>
  <c r="D36" i="1"/>
  <c r="E36" i="1"/>
  <c r="F36" i="1"/>
  <c r="G36" i="1"/>
  <c r="H36" i="1"/>
  <c r="I36" i="1"/>
  <c r="J36" i="1"/>
  <c r="K36" i="1"/>
  <c r="A37" i="1"/>
  <c r="B37" i="1"/>
  <c r="C37" i="1"/>
  <c r="D37" i="1"/>
  <c r="E37" i="1"/>
  <c r="F37" i="1"/>
  <c r="G37" i="1"/>
  <c r="H37" i="1"/>
  <c r="I37" i="1"/>
  <c r="J37" i="1"/>
  <c r="K37" i="1"/>
  <c r="A38" i="1"/>
  <c r="B38" i="1"/>
  <c r="C38" i="1"/>
  <c r="D38" i="1"/>
  <c r="E38" i="1"/>
  <c r="F38" i="1"/>
  <c r="G38" i="1"/>
  <c r="H38" i="1"/>
  <c r="I38" i="1"/>
  <c r="J38" i="1"/>
  <c r="K38" i="1"/>
  <c r="A39" i="1"/>
  <c r="B39" i="1"/>
  <c r="C39" i="1"/>
  <c r="D39" i="1"/>
  <c r="E39" i="1"/>
  <c r="F39" i="1"/>
  <c r="G39" i="1"/>
  <c r="H39" i="1"/>
  <c r="I39" i="1"/>
  <c r="J39" i="1"/>
  <c r="K39" i="1"/>
  <c r="A40" i="1"/>
  <c r="B40" i="1"/>
  <c r="C40" i="1"/>
  <c r="D40" i="1"/>
  <c r="E40" i="1"/>
  <c r="F40" i="1"/>
  <c r="G40" i="1"/>
  <c r="H40" i="1"/>
  <c r="I40" i="1"/>
  <c r="J40" i="1"/>
  <c r="K40" i="1"/>
  <c r="A41" i="1"/>
  <c r="B41" i="1"/>
  <c r="C41" i="1"/>
  <c r="D41" i="1"/>
  <c r="E41" i="1"/>
  <c r="F41" i="1"/>
  <c r="G41" i="1"/>
  <c r="H41" i="1"/>
  <c r="I41" i="1"/>
  <c r="J41" i="1"/>
  <c r="K41" i="1"/>
  <c r="A42" i="1"/>
  <c r="B42" i="1"/>
  <c r="C42" i="1"/>
  <c r="D42" i="1"/>
  <c r="E42" i="1"/>
  <c r="F42" i="1"/>
  <c r="G42" i="1"/>
  <c r="H42" i="1"/>
  <c r="I42" i="1"/>
  <c r="J42" i="1"/>
  <c r="K42" i="1"/>
  <c r="A43" i="1"/>
  <c r="B43" i="1"/>
  <c r="C43" i="1"/>
  <c r="D43" i="1"/>
  <c r="E43" i="1"/>
  <c r="F43" i="1"/>
  <c r="G43" i="1"/>
  <c r="H43" i="1"/>
  <c r="I43" i="1"/>
  <c r="J43" i="1"/>
  <c r="K43" i="1"/>
  <c r="A44" i="1"/>
  <c r="B44" i="1"/>
  <c r="C44" i="1"/>
  <c r="D44" i="1"/>
  <c r="E44" i="1"/>
  <c r="F44" i="1"/>
  <c r="G44" i="1"/>
  <c r="H44" i="1"/>
  <c r="I44" i="1"/>
  <c r="J44" i="1"/>
  <c r="K44" i="1"/>
  <c r="A45" i="1"/>
  <c r="B45" i="1"/>
  <c r="C45" i="1"/>
  <c r="D45" i="1"/>
  <c r="E45" i="1"/>
  <c r="F45" i="1"/>
  <c r="G45" i="1"/>
  <c r="H45" i="1"/>
  <c r="I45" i="1"/>
  <c r="J45" i="1"/>
  <c r="K45" i="1"/>
  <c r="A46" i="1"/>
  <c r="B46" i="1"/>
  <c r="C46" i="1"/>
  <c r="D46" i="1"/>
  <c r="E46" i="1"/>
  <c r="F46" i="1"/>
  <c r="G46" i="1"/>
  <c r="H46" i="1"/>
  <c r="I46" i="1"/>
  <c r="J46" i="1"/>
  <c r="K46" i="1"/>
  <c r="A47" i="1"/>
  <c r="B47" i="1"/>
  <c r="C47" i="1"/>
  <c r="D47" i="1"/>
  <c r="E47" i="1"/>
  <c r="F47" i="1"/>
  <c r="G47" i="1"/>
  <c r="H47" i="1"/>
  <c r="I47" i="1"/>
  <c r="J47" i="1"/>
  <c r="K47" i="1"/>
  <c r="A48" i="1"/>
  <c r="B48" i="1"/>
  <c r="C48" i="1"/>
  <c r="D48" i="1"/>
  <c r="E48" i="1"/>
  <c r="F48" i="1"/>
  <c r="G48" i="1"/>
  <c r="H48" i="1"/>
  <c r="I48" i="1"/>
  <c r="J48" i="1"/>
  <c r="K48" i="1"/>
  <c r="A49" i="1"/>
  <c r="B49" i="1"/>
  <c r="C49" i="1"/>
  <c r="D49" i="1"/>
  <c r="E49" i="1"/>
  <c r="F49" i="1"/>
  <c r="G49" i="1"/>
  <c r="H49" i="1"/>
  <c r="I49" i="1"/>
  <c r="J49" i="1"/>
  <c r="K49" i="1"/>
  <c r="A50" i="1"/>
  <c r="B50" i="1"/>
  <c r="C50" i="1"/>
  <c r="D50" i="1"/>
  <c r="E50" i="1"/>
  <c r="F50" i="1"/>
  <c r="G50" i="1"/>
  <c r="H50" i="1"/>
  <c r="I50" i="1"/>
  <c r="J50" i="1"/>
  <c r="K50" i="1"/>
  <c r="A51" i="1"/>
  <c r="B51" i="1"/>
  <c r="C51" i="1"/>
  <c r="D51" i="1"/>
  <c r="E51" i="1"/>
  <c r="F51" i="1"/>
  <c r="G51" i="1"/>
  <c r="H51" i="1"/>
  <c r="I51" i="1"/>
  <c r="J51" i="1"/>
  <c r="K51" i="1"/>
  <c r="A52" i="1"/>
  <c r="B52" i="1"/>
  <c r="C52" i="1"/>
  <c r="D52" i="1"/>
  <c r="E52" i="1"/>
  <c r="F52" i="1"/>
  <c r="G52" i="1"/>
  <c r="H52" i="1"/>
  <c r="I52" i="1"/>
  <c r="J52" i="1"/>
  <c r="K52" i="1"/>
  <c r="A53" i="1"/>
  <c r="B53" i="1"/>
  <c r="C53" i="1"/>
  <c r="D53" i="1"/>
  <c r="E53" i="1"/>
  <c r="F53" i="1"/>
  <c r="G53" i="1"/>
  <c r="H53" i="1"/>
  <c r="I53" i="1"/>
  <c r="J53" i="1"/>
  <c r="K53" i="1"/>
  <c r="A54" i="1"/>
  <c r="B54" i="1"/>
  <c r="C54" i="1"/>
  <c r="D54" i="1"/>
  <c r="E54" i="1"/>
  <c r="F54" i="1"/>
  <c r="G54" i="1"/>
  <c r="H54" i="1"/>
  <c r="I54" i="1"/>
  <c r="J54" i="1"/>
  <c r="K54" i="1"/>
  <c r="A55" i="1"/>
  <c r="B55" i="1"/>
  <c r="C55" i="1"/>
  <c r="D55" i="1"/>
  <c r="E55" i="1"/>
  <c r="F55" i="1"/>
  <c r="G55" i="1"/>
  <c r="H55" i="1"/>
  <c r="I55" i="1"/>
  <c r="J55" i="1"/>
  <c r="K55" i="1"/>
  <c r="A56" i="1"/>
  <c r="B56" i="1"/>
  <c r="C56" i="1"/>
  <c r="D56" i="1"/>
  <c r="E56" i="1"/>
  <c r="F56" i="1"/>
  <c r="G56" i="1"/>
  <c r="H56" i="1"/>
  <c r="I56" i="1"/>
  <c r="J56" i="1"/>
  <c r="K56" i="1"/>
  <c r="A57" i="1"/>
  <c r="B57" i="1"/>
  <c r="C57" i="1"/>
  <c r="D57" i="1"/>
  <c r="E57" i="1"/>
  <c r="F57" i="1"/>
  <c r="G57" i="1"/>
  <c r="H57" i="1"/>
  <c r="I57" i="1"/>
  <c r="J57" i="1"/>
  <c r="K57" i="1"/>
  <c r="A58" i="1"/>
  <c r="B58" i="1"/>
  <c r="C58" i="1"/>
  <c r="D58" i="1"/>
  <c r="E58" i="1"/>
  <c r="F58" i="1"/>
  <c r="G58" i="1"/>
  <c r="H58" i="1"/>
  <c r="I58" i="1"/>
  <c r="J58" i="1"/>
  <c r="K58" i="1"/>
  <c r="A59" i="1"/>
  <c r="B59" i="1"/>
  <c r="C59" i="1"/>
  <c r="D59" i="1"/>
  <c r="E59" i="1"/>
  <c r="F59" i="1"/>
  <c r="G59" i="1"/>
  <c r="H59" i="1"/>
  <c r="I59" i="1"/>
  <c r="J59" i="1"/>
  <c r="K59" i="1"/>
  <c r="A60" i="1"/>
  <c r="B60" i="1"/>
  <c r="C60" i="1"/>
  <c r="D60" i="1"/>
  <c r="E60" i="1"/>
  <c r="F60" i="1"/>
  <c r="G60" i="1"/>
  <c r="H60" i="1"/>
  <c r="I60" i="1"/>
  <c r="J60" i="1"/>
  <c r="K60" i="1"/>
  <c r="A61" i="1"/>
  <c r="B61" i="1"/>
  <c r="C61" i="1"/>
  <c r="D61" i="1"/>
  <c r="E61" i="1"/>
  <c r="F61" i="1"/>
  <c r="G61" i="1"/>
  <c r="H61" i="1"/>
  <c r="I61" i="1"/>
  <c r="J61" i="1"/>
  <c r="K61" i="1"/>
  <c r="A62" i="1"/>
  <c r="B62" i="1"/>
  <c r="C62" i="1"/>
  <c r="D62" i="1"/>
  <c r="E62" i="1"/>
  <c r="F62" i="1"/>
  <c r="G62" i="1"/>
  <c r="H62" i="1"/>
  <c r="I62" i="1"/>
  <c r="J62" i="1"/>
  <c r="K62" i="1"/>
  <c r="A63" i="1"/>
  <c r="B63" i="1"/>
  <c r="C63" i="1"/>
  <c r="D63" i="1"/>
  <c r="E63" i="1"/>
  <c r="F63" i="1"/>
  <c r="G63" i="1"/>
  <c r="H63" i="1"/>
  <c r="I63" i="1"/>
  <c r="J63" i="1"/>
  <c r="K63" i="1"/>
  <c r="A64" i="1"/>
  <c r="B64" i="1"/>
  <c r="C64" i="1"/>
  <c r="D64" i="1"/>
  <c r="E64" i="1"/>
  <c r="F64" i="1"/>
  <c r="G64" i="1"/>
  <c r="H64" i="1"/>
  <c r="I64" i="1"/>
  <c r="J64" i="1"/>
  <c r="K64" i="1"/>
  <c r="A65" i="1"/>
  <c r="B65" i="1"/>
  <c r="C65" i="1"/>
  <c r="D65" i="1"/>
  <c r="E65" i="1"/>
  <c r="F65" i="1"/>
  <c r="G65" i="1"/>
  <c r="H65" i="1"/>
  <c r="I65" i="1"/>
  <c r="J65" i="1"/>
  <c r="K65" i="1"/>
  <c r="A66" i="1"/>
  <c r="B66" i="1"/>
  <c r="C66" i="1"/>
  <c r="D66" i="1"/>
  <c r="E66" i="1"/>
  <c r="F66" i="1"/>
  <c r="G66" i="1"/>
  <c r="H66" i="1"/>
  <c r="I66" i="1"/>
  <c r="J66" i="1"/>
  <c r="K66" i="1"/>
  <c r="A67" i="1"/>
  <c r="B67" i="1"/>
  <c r="C67" i="1"/>
  <c r="D67" i="1"/>
  <c r="E67" i="1"/>
  <c r="F67" i="1"/>
  <c r="G67" i="1"/>
  <c r="H67" i="1"/>
  <c r="I67" i="1"/>
  <c r="J67" i="1"/>
  <c r="K67" i="1"/>
  <c r="A68" i="1"/>
  <c r="B68" i="1"/>
  <c r="C68" i="1"/>
  <c r="D68" i="1"/>
  <c r="E68" i="1"/>
  <c r="F68" i="1"/>
  <c r="G68" i="1"/>
  <c r="H68" i="1"/>
  <c r="I68" i="1"/>
  <c r="J68" i="1"/>
  <c r="K68" i="1"/>
  <c r="A69" i="1"/>
  <c r="B69" i="1"/>
  <c r="C69" i="1"/>
  <c r="D69" i="1"/>
  <c r="E69" i="1"/>
  <c r="F69" i="1"/>
  <c r="G69" i="1"/>
  <c r="H69" i="1"/>
  <c r="I69" i="1"/>
  <c r="J69" i="1"/>
  <c r="K69" i="1"/>
  <c r="A70" i="1"/>
  <c r="B70" i="1"/>
  <c r="C70" i="1"/>
  <c r="D70" i="1"/>
  <c r="E70" i="1"/>
  <c r="F70" i="1"/>
  <c r="G70" i="1"/>
  <c r="H70" i="1"/>
  <c r="I70" i="1"/>
  <c r="J70" i="1"/>
  <c r="K70" i="1"/>
  <c r="A71" i="1"/>
  <c r="B71" i="1"/>
  <c r="C71" i="1"/>
  <c r="D71" i="1"/>
  <c r="E71" i="1"/>
  <c r="F71" i="1"/>
  <c r="G71" i="1"/>
  <c r="H71" i="1"/>
  <c r="I71" i="1"/>
  <c r="J71" i="1"/>
  <c r="K71" i="1"/>
  <c r="A72" i="1"/>
  <c r="B72" i="1"/>
  <c r="C72" i="1"/>
  <c r="D72" i="1"/>
  <c r="E72" i="1"/>
  <c r="F72" i="1"/>
  <c r="G72" i="1"/>
  <c r="H72" i="1"/>
  <c r="I72" i="1"/>
  <c r="J72" i="1"/>
  <c r="K72" i="1"/>
  <c r="A73" i="1"/>
  <c r="B73" i="1"/>
  <c r="C73" i="1"/>
  <c r="D73" i="1"/>
  <c r="E73" i="1"/>
  <c r="F73" i="1"/>
  <c r="G73" i="1"/>
  <c r="H73" i="1"/>
  <c r="I73" i="1"/>
  <c r="J73" i="1"/>
  <c r="K73" i="1"/>
  <c r="A74" i="1"/>
  <c r="B74" i="1"/>
  <c r="C74" i="1"/>
  <c r="D74" i="1"/>
  <c r="E74" i="1"/>
  <c r="F74" i="1"/>
  <c r="G74" i="1"/>
  <c r="H74" i="1"/>
  <c r="I74" i="1"/>
  <c r="J74" i="1"/>
  <c r="K74" i="1"/>
  <c r="A75" i="1"/>
  <c r="B75" i="1"/>
  <c r="C75" i="1"/>
  <c r="D75" i="1"/>
  <c r="E75" i="1"/>
  <c r="F75" i="1"/>
  <c r="G75" i="1"/>
  <c r="H75" i="1"/>
  <c r="I75" i="1"/>
  <c r="J75" i="1"/>
  <c r="K75" i="1"/>
  <c r="A76" i="1"/>
  <c r="B76" i="1"/>
  <c r="C76" i="1"/>
  <c r="D76" i="1"/>
  <c r="E76" i="1"/>
  <c r="F76" i="1"/>
  <c r="G76" i="1"/>
  <c r="H76" i="1"/>
  <c r="I76" i="1"/>
  <c r="J76" i="1"/>
  <c r="K76" i="1"/>
  <c r="A77" i="1"/>
  <c r="B77" i="1"/>
  <c r="C77" i="1"/>
  <c r="D77" i="1"/>
  <c r="E77" i="1"/>
  <c r="F77" i="1"/>
  <c r="G77" i="1"/>
  <c r="H77" i="1"/>
  <c r="I77" i="1"/>
  <c r="J77" i="1"/>
  <c r="K77" i="1"/>
  <c r="A78" i="1"/>
  <c r="B78" i="1"/>
  <c r="C78" i="1"/>
  <c r="D78" i="1"/>
  <c r="E78" i="1"/>
  <c r="F78" i="1"/>
  <c r="G78" i="1"/>
  <c r="H78" i="1"/>
  <c r="I78" i="1"/>
  <c r="J78" i="1"/>
  <c r="K78" i="1"/>
  <c r="A79" i="1"/>
  <c r="B79" i="1"/>
  <c r="C79" i="1"/>
  <c r="D79" i="1"/>
  <c r="E79" i="1"/>
  <c r="F79" i="1"/>
  <c r="G79" i="1"/>
  <c r="H79" i="1"/>
  <c r="I79" i="1"/>
  <c r="J79" i="1"/>
  <c r="K79" i="1"/>
  <c r="A80" i="1"/>
  <c r="B80" i="1"/>
  <c r="C80" i="1"/>
  <c r="D80" i="1"/>
  <c r="E80" i="1"/>
  <c r="F80" i="1"/>
  <c r="G80" i="1"/>
  <c r="H80" i="1"/>
  <c r="I80" i="1"/>
  <c r="J80" i="1"/>
  <c r="K80" i="1"/>
  <c r="A81" i="1"/>
  <c r="B81" i="1"/>
  <c r="C81" i="1"/>
  <c r="D81" i="1"/>
  <c r="E81" i="1"/>
  <c r="F81" i="1"/>
  <c r="G81" i="1"/>
  <c r="H81" i="1"/>
  <c r="I81" i="1"/>
  <c r="J81" i="1"/>
  <c r="K81" i="1"/>
  <c r="A82" i="1"/>
  <c r="B82" i="1"/>
  <c r="C82" i="1"/>
  <c r="D82" i="1"/>
  <c r="E82" i="1"/>
  <c r="F82" i="1"/>
  <c r="G82" i="1"/>
  <c r="H82" i="1"/>
  <c r="I82" i="1"/>
  <c r="J82" i="1"/>
  <c r="K82" i="1"/>
  <c r="A83" i="1"/>
  <c r="B83" i="1"/>
  <c r="C83" i="1"/>
  <c r="D83" i="1"/>
  <c r="E83" i="1"/>
  <c r="F83" i="1"/>
  <c r="G83" i="1"/>
  <c r="H83" i="1"/>
  <c r="I83" i="1"/>
  <c r="J83" i="1"/>
  <c r="K83" i="1"/>
  <c r="A84" i="1"/>
  <c r="B84" i="1"/>
  <c r="C84" i="1"/>
  <c r="D84" i="1"/>
  <c r="E84" i="1"/>
  <c r="F84" i="1"/>
  <c r="G84" i="1"/>
  <c r="H84" i="1"/>
  <c r="I84" i="1"/>
  <c r="J84" i="1"/>
  <c r="K84" i="1"/>
  <c r="A85" i="1"/>
  <c r="B85" i="1"/>
  <c r="C85" i="1"/>
  <c r="D85" i="1"/>
  <c r="E85" i="1"/>
  <c r="F85" i="1"/>
  <c r="G85" i="1"/>
  <c r="H85" i="1"/>
  <c r="I85" i="1"/>
  <c r="J85" i="1"/>
  <c r="K85" i="1"/>
  <c r="A86" i="1"/>
  <c r="B86" i="1"/>
  <c r="C86" i="1"/>
  <c r="D86" i="1"/>
  <c r="E86" i="1"/>
  <c r="F86" i="1"/>
  <c r="G86" i="1"/>
  <c r="H86" i="1"/>
  <c r="I86" i="1"/>
  <c r="J86" i="1"/>
  <c r="K86" i="1"/>
  <c r="A87" i="1"/>
  <c r="B87" i="1"/>
  <c r="C87" i="1"/>
  <c r="D87" i="1"/>
  <c r="E87" i="1"/>
  <c r="F87" i="1"/>
  <c r="G87" i="1"/>
  <c r="H87" i="1"/>
  <c r="I87" i="1"/>
  <c r="J87" i="1"/>
  <c r="K87" i="1"/>
  <c r="A88" i="1"/>
  <c r="B88" i="1"/>
  <c r="C88" i="1"/>
  <c r="D88" i="1"/>
  <c r="E88" i="1"/>
  <c r="F88" i="1"/>
  <c r="G88" i="1"/>
  <c r="H88" i="1"/>
  <c r="I88" i="1"/>
  <c r="J88" i="1"/>
  <c r="K88" i="1"/>
  <c r="A89" i="1"/>
  <c r="B89" i="1"/>
  <c r="C89" i="1"/>
  <c r="D89" i="1"/>
  <c r="E89" i="1"/>
  <c r="F89" i="1"/>
  <c r="G89" i="1"/>
  <c r="H89" i="1"/>
  <c r="I89" i="1"/>
  <c r="J89" i="1"/>
  <c r="K89" i="1"/>
  <c r="A90" i="1"/>
  <c r="B90" i="1"/>
  <c r="C90" i="1"/>
  <c r="D90" i="1"/>
  <c r="E90" i="1"/>
  <c r="F90" i="1"/>
  <c r="G90" i="1"/>
  <c r="H90" i="1"/>
  <c r="I90" i="1"/>
  <c r="J90" i="1"/>
  <c r="K90" i="1"/>
  <c r="A91" i="1"/>
  <c r="B91" i="1"/>
  <c r="C91" i="1"/>
  <c r="D91" i="1"/>
  <c r="E91" i="1"/>
  <c r="F91" i="1"/>
  <c r="G91" i="1"/>
  <c r="H91" i="1"/>
  <c r="I91" i="1"/>
  <c r="J91" i="1"/>
  <c r="K91" i="1"/>
  <c r="A92" i="1"/>
  <c r="B92" i="1"/>
  <c r="C92" i="1"/>
  <c r="D92" i="1"/>
  <c r="E92" i="1"/>
  <c r="F92" i="1"/>
  <c r="G92" i="1"/>
  <c r="H92" i="1"/>
  <c r="I92" i="1"/>
  <c r="J92" i="1"/>
  <c r="K92" i="1"/>
  <c r="A93" i="1"/>
  <c r="B93" i="1"/>
  <c r="C93" i="1"/>
  <c r="D93" i="1"/>
  <c r="E93" i="1"/>
  <c r="F93" i="1"/>
  <c r="G93" i="1"/>
  <c r="H93" i="1"/>
  <c r="I93" i="1"/>
  <c r="J93" i="1"/>
  <c r="K93" i="1"/>
  <c r="A94" i="1"/>
  <c r="B94" i="1"/>
  <c r="C94" i="1"/>
  <c r="D94" i="1"/>
  <c r="E94" i="1"/>
  <c r="F94" i="1"/>
  <c r="G94" i="1"/>
  <c r="H94" i="1"/>
  <c r="I94" i="1"/>
  <c r="J94" i="1"/>
  <c r="K94" i="1"/>
  <c r="A95" i="1"/>
  <c r="B95" i="1"/>
  <c r="C95" i="1"/>
  <c r="D95" i="1"/>
  <c r="E95" i="1"/>
  <c r="F95" i="1"/>
  <c r="G95" i="1"/>
  <c r="H95" i="1"/>
  <c r="I95" i="1"/>
  <c r="J95" i="1"/>
  <c r="K95" i="1"/>
  <c r="A96" i="1"/>
  <c r="B96" i="1"/>
  <c r="C96" i="1"/>
  <c r="D96" i="1"/>
  <c r="E96" i="1"/>
  <c r="F96" i="1"/>
  <c r="G96" i="1"/>
  <c r="H96" i="1"/>
  <c r="I96" i="1"/>
  <c r="J96" i="1"/>
  <c r="K96" i="1"/>
  <c r="A97" i="1"/>
  <c r="B97" i="1"/>
  <c r="C97" i="1"/>
  <c r="D97" i="1"/>
  <c r="E97" i="1"/>
  <c r="F97" i="1"/>
  <c r="G97" i="1"/>
  <c r="H97" i="1"/>
  <c r="I97" i="1"/>
  <c r="J97" i="1"/>
  <c r="K97" i="1"/>
  <c r="A98" i="1"/>
  <c r="B98" i="1"/>
  <c r="C98" i="1"/>
  <c r="D98" i="1"/>
  <c r="E98" i="1"/>
  <c r="F98" i="1"/>
  <c r="G98" i="1"/>
  <c r="H98" i="1"/>
  <c r="I98" i="1"/>
  <c r="J98" i="1"/>
  <c r="K98" i="1"/>
  <c r="A99" i="1"/>
  <c r="B99" i="1"/>
  <c r="C99" i="1"/>
  <c r="D99" i="1"/>
  <c r="E99" i="1"/>
  <c r="F99" i="1"/>
  <c r="G99" i="1"/>
  <c r="H99" i="1"/>
  <c r="I99" i="1"/>
  <c r="J99" i="1"/>
  <c r="K99" i="1"/>
  <c r="A100" i="1"/>
  <c r="B100" i="1"/>
  <c r="C100" i="1"/>
  <c r="D100" i="1"/>
  <c r="E100" i="1"/>
  <c r="F100" i="1"/>
  <c r="G100" i="1"/>
  <c r="H100" i="1"/>
  <c r="I100" i="1"/>
  <c r="J100" i="1"/>
  <c r="K100" i="1"/>
  <c r="A101" i="1"/>
  <c r="B101" i="1"/>
  <c r="C101" i="1"/>
  <c r="D101" i="1"/>
  <c r="E101" i="1"/>
  <c r="F101" i="1"/>
  <c r="G101" i="1"/>
  <c r="H101" i="1"/>
  <c r="I101" i="1"/>
  <c r="J101" i="1"/>
  <c r="K101" i="1"/>
  <c r="A102" i="1"/>
  <c r="B102" i="1"/>
  <c r="C102" i="1"/>
  <c r="D102" i="1"/>
  <c r="E102" i="1"/>
  <c r="F102" i="1"/>
  <c r="G102" i="1"/>
  <c r="H102" i="1"/>
  <c r="I102" i="1"/>
  <c r="J102" i="1"/>
  <c r="K102" i="1"/>
  <c r="A103" i="1"/>
  <c r="B103" i="1"/>
  <c r="C103" i="1"/>
  <c r="D103" i="1"/>
  <c r="E103" i="1"/>
  <c r="F103" i="1"/>
  <c r="G103" i="1"/>
  <c r="H103" i="1"/>
  <c r="I103" i="1"/>
  <c r="J103" i="1"/>
  <c r="K103" i="1"/>
  <c r="A104" i="1"/>
  <c r="B104" i="1"/>
  <c r="C104" i="1"/>
  <c r="D104" i="1"/>
  <c r="E104" i="1"/>
  <c r="F104" i="1"/>
  <c r="G104" i="1"/>
  <c r="H104" i="1"/>
  <c r="I104" i="1"/>
  <c r="J104" i="1"/>
  <c r="K104" i="1"/>
  <c r="A105" i="1"/>
  <c r="B105" i="1"/>
  <c r="C105" i="1"/>
  <c r="D105" i="1"/>
  <c r="E105" i="1"/>
  <c r="F105" i="1"/>
  <c r="G105" i="1"/>
  <c r="H105" i="1"/>
  <c r="I105" i="1"/>
  <c r="J105" i="1"/>
  <c r="K105" i="1"/>
  <c r="A106" i="1"/>
  <c r="B106" i="1"/>
  <c r="C106" i="1"/>
  <c r="D106" i="1"/>
  <c r="E106" i="1"/>
  <c r="F106" i="1"/>
  <c r="G106" i="1"/>
  <c r="H106" i="1"/>
  <c r="I106" i="1"/>
  <c r="J106" i="1"/>
  <c r="K106" i="1"/>
  <c r="A107" i="1"/>
  <c r="B107" i="1"/>
  <c r="C107" i="1"/>
  <c r="D107" i="1"/>
  <c r="E107" i="1"/>
  <c r="F107" i="1"/>
  <c r="G107" i="1"/>
  <c r="H107" i="1"/>
  <c r="I107" i="1"/>
  <c r="J107" i="1"/>
  <c r="K107" i="1"/>
  <c r="A108" i="1"/>
  <c r="B108" i="1"/>
  <c r="C108" i="1"/>
  <c r="D108" i="1"/>
  <c r="E108" i="1"/>
  <c r="F108" i="1"/>
  <c r="G108" i="1"/>
  <c r="H108" i="1"/>
  <c r="I108" i="1"/>
  <c r="J108" i="1"/>
  <c r="K108" i="1"/>
  <c r="A10" i="1"/>
  <c r="B10" i="1"/>
  <c r="C10" i="1"/>
  <c r="D10" i="1"/>
  <c r="E10" i="1"/>
  <c r="F10" i="1"/>
  <c r="G10" i="1"/>
  <c r="H10" i="1"/>
  <c r="I10" i="1"/>
  <c r="J10" i="1"/>
  <c r="K10" i="1"/>
  <c r="A111" i="1" l="1"/>
  <c r="P2" i="8" l="1"/>
  <c r="P3" i="8"/>
  <c r="B13" i="3" l="1"/>
  <c r="C13" i="3"/>
  <c r="I13" i="3"/>
  <c r="J13" i="3"/>
  <c r="C112" i="3"/>
  <c r="P65" i="8" l="1"/>
  <c r="P66" i="8"/>
  <c r="P67" i="8"/>
  <c r="P68" i="8"/>
  <c r="P69" i="8"/>
  <c r="F9" i="1" l="1"/>
  <c r="P63" i="8" l="1"/>
  <c r="P64" i="8"/>
  <c r="P70" i="8"/>
  <c r="P71" i="8"/>
  <c r="P72" i="8"/>
  <c r="P73" i="8"/>
  <c r="P74" i="8"/>
  <c r="P75" i="8"/>
  <c r="P76" i="8"/>
  <c r="P77" i="8"/>
  <c r="P78" i="8"/>
  <c r="P13" i="3" l="1"/>
  <c r="Q13" i="3" l="1"/>
  <c r="Q113" i="3" s="1"/>
  <c r="U113" i="3" l="1"/>
  <c r="U13" i="3"/>
  <c r="A9" i="1" l="1"/>
  <c r="B9" i="1"/>
  <c r="C9" i="1"/>
  <c r="D9" i="1"/>
  <c r="E9" i="1"/>
  <c r="G9" i="1"/>
  <c r="H9" i="1"/>
  <c r="I9" i="1"/>
  <c r="J9" i="1"/>
  <c r="K9" i="1"/>
  <c r="G109" i="1" l="1"/>
  <c r="D109" i="1"/>
  <c r="H109" i="1"/>
  <c r="F109" i="1" l="1"/>
  <c r="J109" i="1" s="1"/>
  <c r="K109" i="1" s="1"/>
  <c r="A112" i="1"/>
  <c r="L20" i="5" l="1"/>
  <c r="I109" i="1"/>
  <c r="A113" i="1"/>
  <c r="J2" i="13" l="1"/>
  <c r="F11" i="2" l="1"/>
  <c r="F111" i="2" s="1"/>
  <c r="A12" i="9" l="1"/>
  <c r="D6" i="9"/>
  <c r="A18" i="7"/>
  <c r="B19" i="5"/>
  <c r="G12" i="5"/>
  <c r="B6" i="3"/>
  <c r="A2" i="2"/>
  <c r="A11" i="2"/>
  <c r="B11" i="2"/>
  <c r="C11" i="2"/>
  <c r="E11" i="2"/>
  <c r="A9" i="2"/>
  <c r="A6" i="1"/>
  <c r="I4" i="1"/>
  <c r="A3" i="1"/>
  <c r="A19" i="13" l="1"/>
  <c r="B8" i="7"/>
  <c r="L19" i="5" l="1"/>
  <c r="A25" i="5"/>
  <c r="L22" i="5" l="1"/>
  <c r="F8" i="7" s="1"/>
  <c r="F9" i="7" s="1"/>
  <c r="D12" i="9"/>
  <c r="B13" i="9"/>
  <c r="N19" i="13"/>
  <c r="N21" i="13" s="1"/>
  <c r="D15" i="5"/>
  <c r="B13" i="7"/>
  <c r="A24" i="5" l="1"/>
  <c r="L21" i="5"/>
  <c r="F10" i="7" s="1"/>
  <c r="B12" i="9"/>
  <c r="J19" i="13"/>
  <c r="J21" i="13" s="1"/>
  <c r="B15" i="7"/>
  <c r="H19" i="5" l="1"/>
  <c r="D13" i="9"/>
  <c r="A16" i="9" s="1"/>
  <c r="D14" i="9" l="1"/>
  <c r="A17" i="9" s="1"/>
  <c r="M19" i="13" l="1"/>
  <c r="M21" i="13" s="1"/>
</calcChain>
</file>

<file path=xl/sharedStrings.xml><?xml version="1.0" encoding="utf-8"?>
<sst xmlns="http://schemas.openxmlformats.org/spreadsheetml/2006/main" count="1284" uniqueCount="227">
  <si>
    <t>Наименование Пользователя</t>
  </si>
  <si>
    <t>Номер Клиентского Договора</t>
  </si>
  <si>
    <t>Номер счета, выставленного Пользователю</t>
  </si>
  <si>
    <t>Сумма по счету, выставленному Пользователю, рубли без НДС</t>
  </si>
  <si>
    <t>Наименование предоставленной Услуги связи</t>
  </si>
  <si>
    <t>Размер Начисленного дохода без НДС, рубли</t>
  </si>
  <si>
    <t>Размер Начисленного дохода с НДС, рубли</t>
  </si>
  <si>
    <t>Размер Условной стоимости без НДС, рубли</t>
  </si>
  <si>
    <t>Размер Условной стоимости с НДС, рубли</t>
  </si>
  <si>
    <t>Вознаграждение Оператора без НДС, рубли</t>
  </si>
  <si>
    <t>Вознаграждение Оператора с НДС, рубли</t>
  </si>
  <si>
    <t>по Агентскому договору № DA000287 от «27» мая 2010 г.</t>
  </si>
  <si>
    <t xml:space="preserve">Акт приемки услуг
</t>
  </si>
  <si>
    <t>г. Старый Оскол</t>
  </si>
  <si>
    <t>Итого:</t>
  </si>
  <si>
    <t xml:space="preserve">Услуги оказаны Оператором и приняты Компанией в полном объеме. </t>
  </si>
  <si>
    <t>3. Настоящий Акт составлен в 2 (двух) экземплярах и подписан уполномоченными представителями Сторон.</t>
  </si>
  <si>
    <t>№ Клиентского договора</t>
  </si>
  <si>
    <t>Дата Клиентского договора</t>
  </si>
  <si>
    <t xml:space="preserve">Соглашение об уступке требования
по взысканию дебиторской задолженности
</t>
  </si>
  <si>
    <t>Оператор и Компания ТрансТелеКом заключили Агентский договор №DA000287 от «27» мая 2010г., в соответствии с которым Оператор оказывает Компании ТрансТелеКом услуги по содействию в оказании Пользователям Услуг связи (далее - «Договор»), а также что</t>
  </si>
  <si>
    <t>Компания ТрансТелеКом заключила Клиентские договоры с Пользователями на оказание Услуг связи, Стороны заключили настоящее Соглашение об уступке требования по взысканию дебиторской задолженности (далее - «Соглашение») о нижеследующем:</t>
  </si>
  <si>
    <t>1. Компания ТрансТелеКом настоящим уступает Оператору требование к Пользователям по взысканию дебиторской задолженности за оказанные Компанией ТрансТелеКом Пользователям Услуги связи (далее – «Уступка требования»).</t>
  </si>
  <si>
    <t>2. Оператор за Уступку требования перечисляет Компании ТрансТелеКом сумму в размере Условной стоимости Услуг связи в порядке, предусмотренном Договором.</t>
  </si>
  <si>
    <t>3. Детализация дебиторской задолженности с указанием Пользователей и Клиентских договоров, по которым Компания ТрансТелеКом совершает Уступку требования по взысканию дебиторской задолженности Пользователей, приведена в Таблице 1.</t>
  </si>
  <si>
    <t>8. Настоящее Соглашение вступает в силу с момента его подписания.</t>
  </si>
  <si>
    <t>Книга продаж</t>
  </si>
  <si>
    <t xml:space="preserve"> </t>
  </si>
  <si>
    <t>Наименование
покупателя</t>
  </si>
  <si>
    <t>0 процентов</t>
  </si>
  <si>
    <t>(1)</t>
  </si>
  <si>
    <t>(2)</t>
  </si>
  <si>
    <t>(3)</t>
  </si>
  <si>
    <t>(4)</t>
  </si>
  <si>
    <t>(6а)</t>
  </si>
  <si>
    <t>(6б)</t>
  </si>
  <si>
    <t>(7)</t>
  </si>
  <si>
    <t>Главный бухгалтер</t>
  </si>
  <si>
    <t>(подпись)</t>
  </si>
  <si>
    <t>(ф.и.о)</t>
  </si>
  <si>
    <t>Индивидуальный предприниматель</t>
  </si>
  <si>
    <t>Реквизиты свидетельства о государственной регистрации индивидуального предпринимателя</t>
  </si>
  <si>
    <t>* До завершения расчетов по товарам (работам, услугам) отгруженным (выполненным, оказанным) до 1 января 2004 г.</t>
  </si>
  <si>
    <t>-</t>
  </si>
  <si>
    <t xml:space="preserve">   Внимание! Оплата данного счета означает согласие с условиями поставки товара. Уведомление об оплате обязательно, в противном случае не гарантируется наличие товара на складе. Товар отпускается по факту прихода денег на р/с поставщика самовывозом при наличии доверенности и паспорта.</t>
  </si>
  <si>
    <t xml:space="preserve"> ООО "РеИнфоКом"</t>
  </si>
  <si>
    <t>Образец заполнения платежного поручения</t>
  </si>
  <si>
    <t>Получатель</t>
  </si>
  <si>
    <t>ИНН 3128039670 ООО "РеИнфоКом"</t>
  </si>
  <si>
    <t>Сч. №</t>
  </si>
  <si>
    <t>Банк получателя</t>
  </si>
  <si>
    <t>БИК</t>
  </si>
  <si>
    <t>КПП</t>
  </si>
  <si>
    <t>312801001</t>
  </si>
  <si>
    <t>СЧЕТ №</t>
  </si>
  <si>
    <t>от</t>
  </si>
  <si>
    <t>Заказчик:</t>
  </si>
  <si>
    <t>Плательщик:</t>
  </si>
  <si>
    <t>№</t>
  </si>
  <si>
    <t>Наименование товара</t>
  </si>
  <si>
    <t>Ед. изм.</t>
  </si>
  <si>
    <t>К-во</t>
  </si>
  <si>
    <t>Цена</t>
  </si>
  <si>
    <t>Сумма</t>
  </si>
  <si>
    <t>НДС</t>
  </si>
  <si>
    <t>Всего к оплате:</t>
  </si>
  <si>
    <t>Руководитель предприятия</t>
  </si>
  <si>
    <t>(Меркулов Г.А.)</t>
  </si>
  <si>
    <t>Продавец:</t>
  </si>
  <si>
    <t>Общество с ограниченной ответственностью "РеИнфоКом" (ООО "РеИнфоКом")</t>
  </si>
  <si>
    <t>Покупатель:</t>
  </si>
  <si>
    <t>Адрес:</t>
  </si>
  <si>
    <t>ИНН / КПП покупателя:</t>
  </si>
  <si>
    <t>Наименование товара  (описание выполненных работ,  оказанных услуг), имущественного права</t>
  </si>
  <si>
    <t>Единица измерения</t>
  </si>
  <si>
    <t>Цена (тариф)  за единицу измерения</t>
  </si>
  <si>
    <t>2</t>
  </si>
  <si>
    <t>5</t>
  </si>
  <si>
    <t>6</t>
  </si>
  <si>
    <t>7</t>
  </si>
  <si>
    <t>8</t>
  </si>
  <si>
    <t>9</t>
  </si>
  <si>
    <t>11</t>
  </si>
  <si>
    <t>Руководитель организации</t>
  </si>
  <si>
    <t>/Г.А. Меркулов/</t>
  </si>
  <si>
    <t>/</t>
  </si>
  <si>
    <t>(реквизиты свидетельства о государственной регистрации индивидуального предпринимателя)</t>
  </si>
  <si>
    <t>№ п/п</t>
  </si>
  <si>
    <t>Кол.</t>
  </si>
  <si>
    <t>Сумма рублей</t>
  </si>
  <si>
    <t>В том числе и НДС:</t>
  </si>
  <si>
    <t>сумма прописью</t>
  </si>
  <si>
    <t>сумма прописью (в том числе НДС)</t>
  </si>
  <si>
    <t>Сумма дебиторской задолженности за Услуги связи*, руб. с НДС</t>
  </si>
  <si>
    <r>
      <t xml:space="preserve">Исполнитель: </t>
    </r>
    <r>
      <rPr>
        <b/>
        <sz val="11"/>
        <color theme="1"/>
        <rFont val="Calibri"/>
        <family val="2"/>
        <charset val="204"/>
        <scheme val="minor"/>
      </rPr>
      <t>ООО "РеИнфоКом"</t>
    </r>
  </si>
  <si>
    <t>Наименование работ, услуг</t>
  </si>
  <si>
    <t>Всего оказано услуг на сумму:</t>
  </si>
  <si>
    <r>
      <t xml:space="preserve">Исполнитель:_____________________________________  </t>
    </r>
    <r>
      <rPr>
        <b/>
        <u/>
        <sz val="11"/>
        <color indexed="8"/>
        <rFont val="Calibri"/>
        <family val="2"/>
        <charset val="204"/>
      </rPr>
      <t>/ Г.А. Меркулов /</t>
    </r>
  </si>
  <si>
    <t>Отчетный период</t>
  </si>
  <si>
    <t>Всего:</t>
  </si>
  <si>
    <t>Итого разница:</t>
  </si>
  <si>
    <t>Задолженность
ООО "РеИнфоКом"</t>
  </si>
  <si>
    <t>Начисленный доход
(в рублях, с учетом НДС)</t>
  </si>
  <si>
    <t>Агенское вознаграждение
(в рублях, с учетом НДС)</t>
  </si>
  <si>
    <t>Акт</t>
  </si>
  <si>
    <t>зачета взаимной задолженности</t>
  </si>
  <si>
    <t>по Агентскому договору №DA000287 от "27" мая 2010г.</t>
  </si>
  <si>
    <t>Настоящий Акт составлен в 2 (двух) экземплярах и подписан уполномоченными представителями Сторон.</t>
  </si>
  <si>
    <t>Стороны претензий друг к другу не имеют.</t>
  </si>
  <si>
    <t>* Сумма дебиторской задолженности равна Начисленному доходу</t>
  </si>
  <si>
    <t>Всего выполнено на сумму:</t>
  </si>
  <si>
    <t>или иное уполномоченное лицо</t>
  </si>
  <si>
    <t>Номер и дата исправления счета-фактуры продавца</t>
  </si>
  <si>
    <t>Номер и дата корректировочного счета-фактуры продавца</t>
  </si>
  <si>
    <t>Руководитель организации или иное уполномоченное лицо</t>
  </si>
  <si>
    <t>Меркулов Глеб Анатольевич</t>
  </si>
  <si>
    <t>СЧЕТ-ФАКТУРА №</t>
  </si>
  <si>
    <t>ИСПРАВЛЕНИЕ №</t>
  </si>
  <si>
    <t>(1а)</t>
  </si>
  <si>
    <t>(2а)</t>
  </si>
  <si>
    <t>ИНН / КПП продавца:</t>
  </si>
  <si>
    <t>3128039670 / 312801001</t>
  </si>
  <si>
    <t>(2б)</t>
  </si>
  <si>
    <t xml:space="preserve">Грузоотправитель и его адрес: </t>
  </si>
  <si>
    <t xml:space="preserve">Грузополучатель и его адрес: </t>
  </si>
  <si>
    <t>К платежно-расчетному документу №</t>
  </si>
  <si>
    <t>(5)</t>
  </si>
  <si>
    <t>(6)</t>
  </si>
  <si>
    <t>Валюта: наименование, код</t>
  </si>
  <si>
    <t>российский рубль, 643</t>
  </si>
  <si>
    <t>Коли-чество (объем)</t>
  </si>
  <si>
    <t>В том  числе сумма акциза</t>
  </si>
  <si>
    <t>Стоимость товаров (работ, услуг), имущественных прав с налогом - всего</t>
  </si>
  <si>
    <t>Страна  происхождения товара</t>
  </si>
  <si>
    <t>Код</t>
  </si>
  <si>
    <t>Условное обозначение (национальное)</t>
  </si>
  <si>
    <t>Цифровой код</t>
  </si>
  <si>
    <t>Краткое наимено-вание</t>
  </si>
  <si>
    <t>2а</t>
  </si>
  <si>
    <t>10а</t>
  </si>
  <si>
    <t xml:space="preserve"> -</t>
  </si>
  <si>
    <t>без акциза</t>
  </si>
  <si>
    <t>Х</t>
  </si>
  <si>
    <t>Примечание 1. Первый экземпляр счета-фактуры, составленного на бумажном носителе - покупателю, второй экземпляр - продавцу.</t>
  </si>
  <si>
    <t>2. При сотавлении организацией счета-фактуры в электронном виде показатель "Главный бухгалтер (подпись) (ФИО)" не формируется.</t>
  </si>
  <si>
    <t xml:space="preserve"> - </t>
  </si>
  <si>
    <t>DA000287#12_12-074</t>
  </si>
  <si>
    <t>40702810106250000253</t>
  </si>
  <si>
    <t>042007835</t>
  </si>
  <si>
    <t>30101810100000000835</t>
  </si>
  <si>
    <t>Филиал Банка ВТБ (открытое акционерное общество) в г. Воронеж</t>
  </si>
  <si>
    <t>№ п\п</t>
  </si>
  <si>
    <t>Код вида операции</t>
  </si>
  <si>
    <t>ИНН/КПП
покупателя</t>
  </si>
  <si>
    <t>Сведения о посреднике(комиссионере, агенте)</t>
  </si>
  <si>
    <t>Номер и дата документа, подтвержающего оплату</t>
  </si>
  <si>
    <t>наименование посредника</t>
  </si>
  <si>
    <t>ИНН/КПП посредника</t>
  </si>
  <si>
    <t>Наименование и код валюты</t>
  </si>
  <si>
    <t>в валюте счета-фактуры</t>
  </si>
  <si>
    <t>в рублях и копейках</t>
  </si>
  <si>
    <t>10 процентов</t>
  </si>
  <si>
    <t>Стоимость продаж по 
счету-фактуре, разница стоимости 
по корректиро-вочному счету-фактуре (включая НДС)
в валюте 
счета-фактуры</t>
  </si>
  <si>
    <t>Стоимость 
продаж, облагаемых налогом, 
по счету-фактуре, разница стоимости по корректиро-вочному счету-фактуре (без НДС)
в рублях 
и копейках,
по ставке</t>
  </si>
  <si>
    <t>Сумма НДС по счету-фактуре, разница стоимости по корректиро-вочному счету-фактуре
в рублях 
и копейках,
по ставке</t>
  </si>
  <si>
    <t>Стоимость продаж, освобож-даемых от налога, по 
счету-фактуре, разница стоимости 
по корректиро-вочному 
счету-фактуре 
в рублях 
и копейках</t>
  </si>
  <si>
    <t>13а</t>
  </si>
  <si>
    <t>13б</t>
  </si>
  <si>
    <t>Номер 
и дата счета-фактуры продавца</t>
  </si>
  <si>
    <t>(Романова Л.В.)</t>
  </si>
  <si>
    <t>/Л.В. Романова/</t>
  </si>
  <si>
    <t xml:space="preserve">Продавец: от имени АО "Компания ТрансТелеКом"  Агентский договор №DA000287                                                                                                                         </t>
  </si>
  <si>
    <t>АО "Компания ТрансТелеком"</t>
  </si>
  <si>
    <r>
      <t xml:space="preserve">Заказчик: </t>
    </r>
    <r>
      <rPr>
        <b/>
        <sz val="11"/>
        <color theme="1"/>
        <rFont val="Calibri"/>
        <family val="2"/>
        <charset val="204"/>
        <scheme val="minor"/>
      </rPr>
      <t>АО "Компания ТрансТелеКом"</t>
    </r>
  </si>
  <si>
    <t>Настоящий акт составлен между АО "Компания ТрансТелеКом" и ООО "РеИнфоКом" о том, что по взаимному согласию проведено погашение задолженности:</t>
  </si>
  <si>
    <r>
      <rPr>
        <b/>
        <sz val="11"/>
        <color theme="1"/>
        <rFont val="Calibri"/>
        <family val="2"/>
        <charset val="204"/>
        <scheme val="minor"/>
      </rPr>
      <t>АО "Компания ТрансТелеКом"</t>
    </r>
    <r>
      <rPr>
        <sz val="11"/>
        <color theme="1"/>
        <rFont val="Calibri"/>
        <family val="2"/>
        <charset val="204"/>
        <scheme val="minor"/>
      </rPr>
      <t xml:space="preserve">, именуемое в дальнейшем </t>
    </r>
    <r>
      <rPr>
        <b/>
        <sz val="11"/>
        <color theme="1"/>
        <rFont val="Calibri"/>
        <family val="2"/>
        <charset val="204"/>
        <scheme val="minor"/>
      </rPr>
      <t>«Компания ТрансТелеКом»</t>
    </r>
    <r>
      <rPr>
        <sz val="11"/>
        <color theme="1"/>
        <rFont val="Calibri"/>
        <family val="2"/>
        <charset val="204"/>
        <scheme val="minor"/>
      </rPr>
      <t xml:space="preserve">, в лице_____________________________________________, действующего на основании доверенности_______________________________________________, с одной стороны, и </t>
    </r>
    <r>
      <rPr>
        <b/>
        <sz val="11"/>
        <color theme="1"/>
        <rFont val="Calibri"/>
        <family val="2"/>
        <charset val="204"/>
        <scheme val="minor"/>
      </rPr>
      <t>Общество с ограниченной ответственностью «РеИнфоКом»</t>
    </r>
    <r>
      <rPr>
        <sz val="11"/>
        <color theme="1"/>
        <rFont val="Calibri"/>
        <family val="2"/>
        <charset val="204"/>
        <scheme val="minor"/>
      </rPr>
      <t>, именуемое в дальнейшем «Оператор», в лице Генерального директора Меркулова Г.А., действующего на основании Устава, с другой стороны, именуемые в дальнейшем «Стороны», подписали настоящий Акт приемки услуг к Агентскому договору № DA000287 от «27» мая 2010 г. (далее –</t>
    </r>
    <r>
      <rPr>
        <b/>
        <sz val="11"/>
        <color theme="1"/>
        <rFont val="Calibri"/>
        <family val="2"/>
        <charset val="204"/>
        <scheme val="minor"/>
      </rPr>
      <t xml:space="preserve"> «Агентский договор»</t>
    </r>
    <r>
      <rPr>
        <sz val="11"/>
        <color theme="1"/>
        <rFont val="Calibri"/>
        <family val="2"/>
        <charset val="204"/>
        <scheme val="minor"/>
      </rPr>
      <t>) о нижеследующем:</t>
    </r>
  </si>
  <si>
    <r>
      <rPr>
        <b/>
        <sz val="11"/>
        <color theme="1"/>
        <rFont val="Calibri"/>
        <family val="2"/>
        <charset val="204"/>
        <scheme val="minor"/>
      </rPr>
      <t>Акционерное общество «Компания ТрансТелеКом»</t>
    </r>
    <r>
      <rPr>
        <sz val="11"/>
        <color theme="1"/>
        <rFont val="Calibri"/>
        <family val="2"/>
        <charset val="204"/>
        <scheme val="minor"/>
      </rPr>
      <t xml:space="preserve">, именуемое в дальнейшем «Компания ТрансТелеКом», в лице _____________________________________________, действующего на основании ________________________________________________,  с одной стороны, и </t>
    </r>
    <r>
      <rPr>
        <b/>
        <sz val="11"/>
        <color theme="1"/>
        <rFont val="Calibri"/>
        <family val="2"/>
        <charset val="204"/>
        <scheme val="minor"/>
      </rPr>
      <t>Общество с ограниченной ответственностью «РеИнфоКом»</t>
    </r>
    <r>
      <rPr>
        <sz val="11"/>
        <color theme="1"/>
        <rFont val="Calibri"/>
        <family val="2"/>
        <charset val="204"/>
        <scheme val="minor"/>
      </rPr>
      <t>, именуемое в дальнейшем «Оператор», в лице Генерального директора Меркулова Г.А., действующего на основании Устава, с другой стороны, здесь и далее совместно именуемые «Стороны», принимая во внимание, что Компания ТрансТелеКом имеет лицензию на оказание услуг междугородной, международной телефонной связи (далее - «Услуги связи»), Оператор имеет лицензию на оказание услуг внутризоновой и/или местной телефонной связи;</t>
    </r>
  </si>
  <si>
    <r>
      <t>Заказчик:__________________________________________/</t>
    </r>
    <r>
      <rPr>
        <b/>
        <u/>
        <sz val="11"/>
        <color theme="1"/>
        <rFont val="Calibri"/>
        <family val="2"/>
        <charset val="204"/>
        <scheme val="minor"/>
      </rPr>
      <t>__________________</t>
    </r>
    <r>
      <rPr>
        <b/>
        <sz val="11"/>
        <color theme="1"/>
        <rFont val="Calibri"/>
        <family val="2"/>
        <charset val="204"/>
        <scheme val="minor"/>
      </rPr>
      <t>/</t>
    </r>
  </si>
  <si>
    <t>Задолженность
АО "Компания ТрансТелеКом"</t>
  </si>
  <si>
    <t>Сумма налога, предъявляемая покупателю</t>
  </si>
  <si>
    <t>(8)</t>
  </si>
  <si>
    <t>Приложение № 1 к постановлению правительства РФ от 26.11.2011г. №1137
(в ред. Постановления правительства РФ от 19.09.2017 №981)</t>
  </si>
  <si>
    <t>Код вида товара</t>
  </si>
  <si>
    <t>1а</t>
  </si>
  <si>
    <t>Идентификатор государственного контракта, договора(соглашения)(при наличии)</t>
  </si>
  <si>
    <t>Стоимость товаров (работ, услуг), иму- щественных прав без налога - всего</t>
  </si>
  <si>
    <t>Нало- говая ставка</t>
  </si>
  <si>
    <t>Регистра- ционный номер таможен- ной дек-ларации</t>
  </si>
  <si>
    <t>Номер
и дата исправ-ления коррек-тиро-вочного счета-фактуры продавца</t>
  </si>
  <si>
    <t>Регистра-ционный номер таможен-ной деклара-ции</t>
  </si>
  <si>
    <t>3а</t>
  </si>
  <si>
    <t>3б</t>
  </si>
  <si>
    <t>ООО «ВКМ»</t>
  </si>
  <si>
    <t>309502, ОБЛАСТЬ БЕЛГОРОДСКАЯ, ГОРОД СТАРЫЙ ОСКОЛ, МИКРОРАЙОН КОРОЛЕВА, ДОМ 35, КВАРТИРА 45</t>
  </si>
  <si>
    <t>123112, ГОРОД МОСКВА, УЛИЦА ТЕСТОВСКАЯ, ДОМ 8</t>
  </si>
  <si>
    <t>Адрес: 309502, ОБЛАСТЬ БЕЛГОРОДСКАЯ, ГОРОД СТАРЫЙ ОСКОЛ, МИКР. КОРОЛЕВА, ДОМ 35, КВ. 45</t>
  </si>
  <si>
    <t>Идентификационный номер и код причины постановки на учет налогоплательщика-продавца:  7709219099/774850001</t>
  </si>
  <si>
    <t xml:space="preserve">Всего:  </t>
  </si>
  <si>
    <t>20 процентов</t>
  </si>
  <si>
    <t>7709219099/775050001</t>
  </si>
  <si>
    <t>18 процентов</t>
  </si>
  <si>
    <t>14a</t>
  </si>
  <si>
    <t>17a</t>
  </si>
  <si>
    <t>Приложение № 5
к постановлению Правительства Российской Федерации от 26.12.2011 № 1137
(в ред. Постановления Правительства РФ от 19.01.2019 №15)</t>
  </si>
  <si>
    <t>ООО «Инженерный центр «Осколлифтреммонтаж»</t>
  </si>
  <si>
    <t>DA000287#0314-018Т</t>
  </si>
  <si>
    <t>DA000287#TTK0000200</t>
  </si>
  <si>
    <t>DA000287#TTK0000201</t>
  </si>
  <si>
    <t>Компания ТрансТелеКом</t>
  </si>
  <si>
    <t>Подпись: _________________</t>
  </si>
  <si>
    <t>Оператор</t>
  </si>
  <si>
    <t>Подпись: __________________</t>
  </si>
  <si>
    <t>Ф.И.О.: Меркулов Г.А.</t>
  </si>
  <si>
    <t>Должность: Генеральный директор</t>
  </si>
  <si>
    <t xml:space="preserve">4. Уступка требования не затрагивает каким-либо образом действительность Клиентских договоров, а также права и обязанности </t>
  </si>
  <si>
    <t>Пользователей по Клиентским договорам.</t>
  </si>
  <si>
    <t xml:space="preserve">5. С момента Уступки требования дебиторская задолженность Компании ТрансТелеКом становится дебиторской задолженностью </t>
  </si>
  <si>
    <t>Оператора, и Оператор самостоятельно отвечает за ее сбор.</t>
  </si>
  <si>
    <t xml:space="preserve">6. Настоящее Соглашение содержит конфиденциальную информацию, которая не может быть опубликована или раскрыта </t>
  </si>
  <si>
    <t>каким-либо другим образом без письменного согласия Сторон.</t>
  </si>
  <si>
    <t xml:space="preserve">7. Во всем остальном, что не предусмотрено настоящим Соглашением, действуют условия Договора. Значение терминов, </t>
  </si>
  <si>
    <t>не определенных настоящим Соглашением, определяется Договором.</t>
  </si>
  <si>
    <t xml:space="preserve">9. Настоящее Соглашение составлено в двух экземплярах, по одному для каждой из Сторон и является неотъемлемой частью </t>
  </si>
  <si>
    <t>Договора.</t>
  </si>
  <si>
    <t>Счет</t>
  </si>
  <si>
    <t>СФ</t>
  </si>
  <si>
    <t>АКТ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</si>
</sst>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р_._-;\-* #,##0.00_р_._-;_-* &quot;-&quot;??_р_._-;_-@_-"/>
    <numFmt numFmtId="165" formatCode="[$-F800]dddd\,\ mmmm\ dd\,\ yyyy"/>
    <numFmt numFmtId="166" formatCode="0000"/>
    <numFmt numFmtId="167" formatCode="0.00_ ;[Red]\-0.00\ "/>
  </numFmts>
  <fonts count="4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7"/>
      <name val="Arial"/>
      <family val="2"/>
      <charset val="204"/>
    </font>
    <font>
      <b/>
      <sz val="14"/>
      <name val="Arial"/>
      <family val="2"/>
      <charset val="204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b/>
      <sz val="7"/>
      <name val="Arial"/>
      <family val="2"/>
      <charset val="204"/>
    </font>
    <font>
      <sz val="7"/>
      <name val="Times New Roman"/>
      <family val="1"/>
    </font>
    <font>
      <sz val="10"/>
      <name val="Arial"/>
      <family val="2"/>
      <charset val="204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7"/>
      <name val="Arial"/>
      <family val="2"/>
    </font>
    <font>
      <sz val="8"/>
      <color indexed="8"/>
      <name val="Calibri"/>
      <family val="2"/>
      <charset val="204"/>
    </font>
    <font>
      <b/>
      <sz val="16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8"/>
      <name val="Arial"/>
      <family val="2"/>
      <charset val="204"/>
    </font>
    <font>
      <sz val="10"/>
      <color theme="5"/>
      <name val="Arial"/>
      <family val="2"/>
      <charset val="204"/>
    </font>
    <font>
      <b/>
      <u/>
      <sz val="11"/>
      <color indexed="8"/>
      <name val="Calibri"/>
      <family val="2"/>
      <charset val="204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b/>
      <sz val="14"/>
      <color theme="5" tint="-0.249977111117893"/>
      <name val="Arial"/>
      <family val="2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i/>
      <sz val="11"/>
      <color theme="3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7"/>
      <color theme="1"/>
      <name val="Arial"/>
      <family val="2"/>
      <charset val="204"/>
    </font>
    <font>
      <b/>
      <sz val="8"/>
      <color theme="1"/>
      <name val="Arial"/>
      <family val="2"/>
      <charset val="204"/>
    </font>
    <font>
      <b/>
      <sz val="1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9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10" fillId="0" borderId="0"/>
    <xf numFmtId="0" fontId="31" fillId="0" borderId="0"/>
    <xf numFmtId="9" fontId="35" fillId="0" borderId="0" applyFont="0" applyFill="0" applyBorder="0" applyAlignment="0" applyProtection="0"/>
    <xf numFmtId="9" fontId="30" fillId="0" borderId="0" applyFont="0" applyFill="0" applyBorder="0" applyAlignment="0" applyProtection="0"/>
    <xf numFmtId="164" fontId="30" fillId="0" borderId="0" applyFont="0" applyFill="0" applyBorder="0" applyAlignment="0" applyProtection="0"/>
  </cellStyleXfs>
  <cellXfs count="380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49" fontId="0" fillId="0" borderId="0" xfId="0" applyNumberFormat="1" applyAlignment="1">
      <alignment vertical="top"/>
    </xf>
    <xf numFmtId="0" fontId="0" fillId="0" borderId="0" xfId="0" applyAlignment="1"/>
    <xf numFmtId="0" fontId="4" fillId="0" borderId="0" xfId="0" applyFont="1" applyAlignment="1">
      <alignment horizontal="centerContinuous" vertical="top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/>
    </xf>
    <xf numFmtId="0" fontId="5" fillId="0" borderId="0" xfId="0" applyFont="1" applyAlignment="1"/>
    <xf numFmtId="0" fontId="0" fillId="0" borderId="0" xfId="0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18" xfId="0" applyBorder="1" applyAlignment="1"/>
    <xf numFmtId="0" fontId="0" fillId="0" borderId="16" xfId="0" applyBorder="1" applyAlignment="1"/>
    <xf numFmtId="0" fontId="0" fillId="0" borderId="0" xfId="0" applyBorder="1"/>
    <xf numFmtId="0" fontId="0" fillId="0" borderId="0" xfId="0" applyProtection="1"/>
    <xf numFmtId="0" fontId="19" fillId="0" borderId="0" xfId="0" applyFont="1" applyProtection="1"/>
    <xf numFmtId="165" fontId="0" fillId="0" borderId="0" xfId="0" applyNumberFormat="1"/>
    <xf numFmtId="0" fontId="0" fillId="0" borderId="0" xfId="0" applyAlignment="1">
      <alignment vertical="top" wrapText="1"/>
    </xf>
    <xf numFmtId="0" fontId="0" fillId="0" borderId="18" xfId="0" applyBorder="1" applyProtection="1"/>
    <xf numFmtId="0" fontId="0" fillId="0" borderId="18" xfId="0" applyBorder="1"/>
    <xf numFmtId="0" fontId="0" fillId="0" borderId="0" xfId="0" applyBorder="1" applyProtection="1"/>
    <xf numFmtId="0" fontId="0" fillId="0" borderId="0" xfId="0" applyProtection="1">
      <protection hidden="1"/>
    </xf>
    <xf numFmtId="0" fontId="0" fillId="0" borderId="10" xfId="0" applyBorder="1" applyProtection="1"/>
    <xf numFmtId="14" fontId="0" fillId="0" borderId="0" xfId="0" applyNumberFormat="1"/>
    <xf numFmtId="0" fontId="0" fillId="0" borderId="0" xfId="0" applyAlignment="1">
      <alignment vertical="top"/>
    </xf>
    <xf numFmtId="14" fontId="0" fillId="0" borderId="0" xfId="0" applyNumberFormat="1" applyBorder="1"/>
    <xf numFmtId="2" fontId="1" fillId="0" borderId="0" xfId="0" applyNumberFormat="1" applyFont="1" applyBorder="1"/>
    <xf numFmtId="0" fontId="0" fillId="0" borderId="9" xfId="0" applyBorder="1"/>
    <xf numFmtId="14" fontId="0" fillId="0" borderId="10" xfId="0" applyNumberFormat="1" applyBorder="1"/>
    <xf numFmtId="0" fontId="0" fillId="0" borderId="10" xfId="0" applyBorder="1"/>
    <xf numFmtId="2" fontId="0" fillId="0" borderId="11" xfId="0" applyNumberFormat="1" applyBorder="1"/>
    <xf numFmtId="49" fontId="12" fillId="0" borderId="0" xfId="1" applyNumberFormat="1" applyFont="1" applyFill="1" applyAlignment="1">
      <alignment horizontal="left" vertical="center"/>
    </xf>
    <xf numFmtId="49" fontId="12" fillId="0" borderId="19" xfId="1" applyNumberFormat="1" applyFont="1" applyFill="1" applyBorder="1" applyAlignment="1">
      <alignment horizontal="center" vertical="center"/>
    </xf>
    <xf numFmtId="49" fontId="12" fillId="0" borderId="16" xfId="1" applyNumberFormat="1" applyFont="1" applyFill="1" applyBorder="1" applyAlignment="1">
      <alignment horizontal="center" vertical="center"/>
    </xf>
    <xf numFmtId="49" fontId="12" fillId="0" borderId="18" xfId="1" applyNumberFormat="1" applyFont="1" applyFill="1" applyBorder="1" applyAlignment="1">
      <alignment horizontal="center" vertical="center"/>
    </xf>
    <xf numFmtId="49" fontId="12" fillId="0" borderId="17" xfId="1" applyNumberFormat="1" applyFont="1" applyFill="1" applyBorder="1" applyAlignment="1">
      <alignment horizontal="left" vertical="center"/>
    </xf>
    <xf numFmtId="49" fontId="12" fillId="0" borderId="18" xfId="1" applyNumberFormat="1" applyFont="1" applyFill="1" applyBorder="1" applyAlignment="1">
      <alignment horizontal="left" vertical="center"/>
    </xf>
    <xf numFmtId="49" fontId="12" fillId="0" borderId="12" xfId="1" applyNumberFormat="1" applyFont="1" applyFill="1" applyBorder="1" applyAlignment="1">
      <alignment horizontal="left" vertical="center"/>
    </xf>
    <xf numFmtId="49" fontId="12" fillId="0" borderId="19" xfId="1" applyNumberFormat="1" applyFont="1" applyFill="1" applyBorder="1" applyAlignment="1">
      <alignment horizontal="left" vertical="center"/>
    </xf>
    <xf numFmtId="49" fontId="12" fillId="0" borderId="20" xfId="1" applyNumberFormat="1" applyFont="1" applyFill="1" applyBorder="1" applyAlignment="1">
      <alignment horizontal="center" vertical="center"/>
    </xf>
    <xf numFmtId="49" fontId="12" fillId="0" borderId="21" xfId="1" applyNumberFormat="1" applyFont="1" applyFill="1" applyBorder="1" applyAlignment="1">
      <alignment horizontal="left" vertical="center"/>
    </xf>
    <xf numFmtId="49" fontId="12" fillId="0" borderId="0" xfId="1" applyNumberFormat="1" applyFont="1" applyFill="1" applyBorder="1" applyAlignment="1">
      <alignment horizontal="center" vertical="center"/>
    </xf>
    <xf numFmtId="49" fontId="12" fillId="0" borderId="13" xfId="1" applyNumberFormat="1" applyFont="1" applyFill="1" applyBorder="1" applyAlignment="1">
      <alignment horizontal="center" vertical="center"/>
    </xf>
    <xf numFmtId="49" fontId="12" fillId="0" borderId="12" xfId="1" applyNumberFormat="1" applyFont="1" applyFill="1" applyBorder="1" applyAlignment="1">
      <alignment horizontal="center" vertical="center"/>
    </xf>
    <xf numFmtId="49" fontId="14" fillId="0" borderId="0" xfId="1" applyNumberFormat="1" applyFont="1" applyFill="1" applyBorder="1" applyAlignment="1">
      <alignment horizontal="left" vertical="center"/>
    </xf>
    <xf numFmtId="49" fontId="14" fillId="0" borderId="0" xfId="1" applyNumberFormat="1" applyFont="1" applyFill="1" applyBorder="1" applyAlignment="1">
      <alignment horizontal="center" vertical="center"/>
    </xf>
    <xf numFmtId="0" fontId="0" fillId="0" borderId="0" xfId="0" applyFill="1" applyBorder="1"/>
    <xf numFmtId="49" fontId="12" fillId="0" borderId="0" xfId="1" applyNumberFormat="1" applyFont="1" applyFill="1" applyBorder="1" applyAlignment="1">
      <alignment horizontal="left" vertical="center"/>
    </xf>
    <xf numFmtId="0" fontId="10" fillId="0" borderId="0" xfId="1" applyFill="1"/>
    <xf numFmtId="0" fontId="0" fillId="0" borderId="0" xfId="0" applyFill="1"/>
    <xf numFmtId="0" fontId="0" fillId="0" borderId="0" xfId="0" applyFill="1" applyAlignment="1"/>
    <xf numFmtId="0" fontId="6" fillId="0" borderId="0" xfId="1" applyFont="1" applyFill="1"/>
    <xf numFmtId="0" fontId="1" fillId="0" borderId="0" xfId="0" applyFont="1" applyProtection="1"/>
    <xf numFmtId="165" fontId="0" fillId="0" borderId="0" xfId="0" applyNumberFormat="1" applyAlignment="1">
      <alignment horizontal="right"/>
    </xf>
    <xf numFmtId="49" fontId="10" fillId="0" borderId="0" xfId="1" applyNumberFormat="1" applyFill="1" applyBorder="1" applyAlignment="1">
      <alignment horizontal="center" vertical="center"/>
    </xf>
    <xf numFmtId="49" fontId="10" fillId="0" borderId="0" xfId="1" applyNumberFormat="1" applyFill="1" applyBorder="1" applyAlignment="1">
      <alignment horizontal="right" vertical="center"/>
    </xf>
    <xf numFmtId="165" fontId="0" fillId="0" borderId="0" xfId="0" applyNumberFormat="1" applyBorder="1"/>
    <xf numFmtId="49" fontId="11" fillId="0" borderId="0" xfId="1" applyNumberFormat="1" applyFont="1" applyFill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24" fillId="0" borderId="10" xfId="0" applyFont="1" applyBorder="1" applyAlignment="1">
      <alignment horizontal="left" vertical="center" wrapText="1"/>
    </xf>
    <xf numFmtId="2" fontId="24" fillId="0" borderId="10" xfId="0" applyNumberFormat="1" applyFont="1" applyBorder="1" applyAlignment="1">
      <alignment horizontal="right" vertical="center"/>
    </xf>
    <xf numFmtId="0" fontId="7" fillId="0" borderId="10" xfId="0" applyFont="1" applyBorder="1" applyAlignment="1">
      <alignment horizontal="center" vertical="center"/>
    </xf>
    <xf numFmtId="0" fontId="0" fillId="0" borderId="1" xfId="0" applyBorder="1" applyProtection="1"/>
    <xf numFmtId="0" fontId="2" fillId="0" borderId="9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2" fontId="0" fillId="0" borderId="10" xfId="0" applyNumberFormat="1" applyFont="1" applyBorder="1" applyAlignment="1">
      <alignment horizontal="center" vertical="center" wrapText="1"/>
    </xf>
    <xf numFmtId="2" fontId="0" fillId="0" borderId="11" xfId="0" applyNumberFormat="1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0" fillId="0" borderId="29" xfId="0" applyBorder="1"/>
    <xf numFmtId="0" fontId="28" fillId="0" borderId="0" xfId="0" applyFont="1" applyBorder="1" applyAlignment="1">
      <alignment horizontal="left" vertical="top"/>
    </xf>
    <xf numFmtId="0" fontId="1" fillId="0" borderId="30" xfId="0" applyFont="1" applyBorder="1" applyAlignment="1">
      <alignment horizontal="center"/>
    </xf>
    <xf numFmtId="0" fontId="20" fillId="0" borderId="6" xfId="0" applyFont="1" applyBorder="1" applyAlignment="1">
      <alignment horizontal="center" textRotation="90" wrapText="1"/>
    </xf>
    <xf numFmtId="0" fontId="20" fillId="0" borderId="7" xfId="0" applyFont="1" applyBorder="1" applyAlignment="1">
      <alignment horizontal="center" textRotation="90" wrapText="1"/>
    </xf>
    <xf numFmtId="0" fontId="20" fillId="0" borderId="8" xfId="0" applyFont="1" applyBorder="1" applyAlignment="1">
      <alignment horizontal="center" textRotation="90" wrapText="1"/>
    </xf>
    <xf numFmtId="0" fontId="1" fillId="0" borderId="28" xfId="0" applyFont="1" applyBorder="1" applyAlignment="1">
      <alignment horizontal="right" wrapText="1"/>
    </xf>
    <xf numFmtId="0" fontId="7" fillId="0" borderId="11" xfId="0" applyFont="1" applyBorder="1" applyAlignment="1">
      <alignment horizontal="center" vertical="center"/>
    </xf>
    <xf numFmtId="49" fontId="11" fillId="0" borderId="0" xfId="1" applyNumberFormat="1" applyFont="1" applyFill="1" applyBorder="1" applyAlignment="1">
      <alignment horizontal="center" vertical="center"/>
    </xf>
    <xf numFmtId="49" fontId="10" fillId="0" borderId="0" xfId="1" applyNumberFormat="1" applyFill="1" applyBorder="1" applyAlignment="1">
      <alignment horizontal="left" vertical="center"/>
    </xf>
    <xf numFmtId="49" fontId="12" fillId="0" borderId="17" xfId="1" applyNumberFormat="1" applyFont="1" applyFill="1" applyBorder="1" applyAlignment="1">
      <alignment horizontal="center" vertical="center"/>
    </xf>
    <xf numFmtId="49" fontId="12" fillId="0" borderId="17" xfId="1" applyNumberFormat="1" applyFont="1" applyFill="1" applyBorder="1" applyAlignment="1">
      <alignment horizontal="left" vertical="top"/>
    </xf>
    <xf numFmtId="49" fontId="12" fillId="0" borderId="14" xfId="1" applyNumberFormat="1" applyFont="1" applyFill="1" applyBorder="1" applyAlignment="1">
      <alignment horizontal="center" vertical="center"/>
    </xf>
    <xf numFmtId="1" fontId="10" fillId="0" borderId="1" xfId="1" applyNumberFormat="1" applyFill="1" applyBorder="1" applyAlignment="1">
      <alignment horizontal="center" vertical="center"/>
    </xf>
    <xf numFmtId="49" fontId="10" fillId="0" borderId="1" xfId="1" applyNumberFormat="1" applyFont="1" applyFill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/>
    </xf>
    <xf numFmtId="2" fontId="19" fillId="0" borderId="33" xfId="0" applyNumberFormat="1" applyFont="1" applyBorder="1" applyAlignment="1">
      <alignment horizontal="center"/>
    </xf>
    <xf numFmtId="49" fontId="0" fillId="0" borderId="0" xfId="0" applyNumberFormat="1" applyBorder="1" applyProtection="1"/>
    <xf numFmtId="0" fontId="0" fillId="0" borderId="0" xfId="0" applyBorder="1" applyAlignment="1" applyProtection="1"/>
    <xf numFmtId="0" fontId="1" fillId="0" borderId="0" xfId="0" applyFont="1" applyBorder="1" applyProtection="1"/>
    <xf numFmtId="0" fontId="19" fillId="0" borderId="1" xfId="0" applyFont="1" applyBorder="1" applyProtection="1"/>
    <xf numFmtId="49" fontId="0" fillId="0" borderId="1" xfId="0" applyNumberFormat="1" applyBorder="1" applyProtection="1"/>
    <xf numFmtId="0" fontId="19" fillId="0" borderId="23" xfId="0" applyFont="1" applyBorder="1" applyAlignment="1" applyProtection="1">
      <alignment horizontal="center" vertical="center" wrapText="1"/>
    </xf>
    <xf numFmtId="0" fontId="19" fillId="0" borderId="24" xfId="0" applyFont="1" applyBorder="1" applyAlignment="1" applyProtection="1">
      <alignment horizontal="center" vertical="center" wrapText="1"/>
    </xf>
    <xf numFmtId="0" fontId="19" fillId="0" borderId="25" xfId="0" applyFont="1" applyBorder="1" applyAlignment="1" applyProtection="1">
      <alignment horizontal="center" vertical="center" wrapText="1"/>
    </xf>
    <xf numFmtId="0" fontId="19" fillId="0" borderId="10" xfId="0" applyFont="1" applyBorder="1" applyProtection="1"/>
    <xf numFmtId="0" fontId="0" fillId="0" borderId="23" xfId="0" applyBorder="1" applyAlignment="1" applyProtection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</xf>
    <xf numFmtId="2" fontId="0" fillId="0" borderId="25" xfId="0" applyNumberFormat="1" applyBorder="1" applyAlignment="1" applyProtection="1">
      <alignment horizontal="right" vertical="center" wrapText="1"/>
    </xf>
    <xf numFmtId="0" fontId="0" fillId="0" borderId="17" xfId="0" applyBorder="1" applyProtection="1"/>
    <xf numFmtId="0" fontId="0" fillId="0" borderId="14" xfId="0" applyBorder="1" applyProtection="1"/>
    <xf numFmtId="2" fontId="0" fillId="0" borderId="39" xfId="0" applyNumberFormat="1" applyBorder="1" applyProtection="1"/>
    <xf numFmtId="2" fontId="0" fillId="0" borderId="40" xfId="0" applyNumberFormat="1" applyBorder="1" applyProtection="1"/>
    <xf numFmtId="0" fontId="1" fillId="0" borderId="3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0" fillId="0" borderId="23" xfId="0" applyBorder="1"/>
    <xf numFmtId="0" fontId="0" fillId="0" borderId="23" xfId="0" applyFont="1" applyBorder="1"/>
    <xf numFmtId="1" fontId="24" fillId="0" borderId="10" xfId="0" applyNumberFormat="1" applyFont="1" applyBorder="1" applyAlignment="1">
      <alignment horizontal="center" vertical="center"/>
    </xf>
    <xf numFmtId="2" fontId="1" fillId="0" borderId="27" xfId="0" applyNumberFormat="1" applyFont="1" applyBorder="1" applyAlignment="1" applyProtection="1">
      <alignment horizontal="right"/>
      <protection hidden="1"/>
    </xf>
    <xf numFmtId="2" fontId="1" fillId="0" borderId="27" xfId="0" applyNumberFormat="1" applyFont="1" applyBorder="1" applyAlignment="1">
      <alignment horizontal="right"/>
    </xf>
    <xf numFmtId="2" fontId="0" fillId="0" borderId="0" xfId="0" applyNumberFormat="1"/>
    <xf numFmtId="0" fontId="24" fillId="0" borderId="10" xfId="0" applyFont="1" applyBorder="1" applyAlignment="1">
      <alignment horizontal="center" vertical="center" wrapText="1"/>
    </xf>
    <xf numFmtId="0" fontId="32" fillId="0" borderId="0" xfId="0" applyFont="1" applyProtection="1"/>
    <xf numFmtId="0" fontId="32" fillId="0" borderId="0" xfId="0" applyFont="1" applyBorder="1" applyProtection="1"/>
    <xf numFmtId="49" fontId="18" fillId="0" borderId="0" xfId="0" applyNumberFormat="1" applyFont="1" applyAlignment="1">
      <alignment wrapText="1"/>
    </xf>
    <xf numFmtId="0" fontId="18" fillId="0" borderId="0" xfId="0" applyFont="1" applyAlignment="1">
      <alignment horizontal="right" wrapText="1"/>
    </xf>
    <xf numFmtId="0" fontId="18" fillId="0" borderId="0" xfId="0" applyFont="1" applyAlignment="1">
      <alignment wrapText="1"/>
    </xf>
    <xf numFmtId="0" fontId="32" fillId="0" borderId="0" xfId="0" applyFont="1"/>
    <xf numFmtId="0" fontId="33" fillId="0" borderId="0" xfId="0" applyFont="1" applyProtection="1"/>
    <xf numFmtId="49" fontId="34" fillId="0" borderId="0" xfId="0" applyNumberFormat="1" applyFont="1" applyAlignment="1">
      <alignment wrapText="1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horizontal="left" vertical="top" wrapText="1"/>
    </xf>
    <xf numFmtId="49" fontId="0" fillId="0" borderId="0" xfId="0" applyNumberFormat="1" applyAlignment="1" applyProtection="1">
      <alignment vertical="top" wrapText="1"/>
    </xf>
    <xf numFmtId="0" fontId="0" fillId="0" borderId="7" xfId="0" applyBorder="1" applyAlignment="1" applyProtection="1">
      <alignment horizontal="center" vertical="top" wrapText="1"/>
    </xf>
    <xf numFmtId="0" fontId="0" fillId="0" borderId="41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4" xfId="0" applyBorder="1" applyAlignment="1" applyProtection="1">
      <alignment horizontal="center"/>
    </xf>
    <xf numFmtId="0" fontId="0" fillId="0" borderId="4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4" xfId="0" applyBorder="1" applyAlignment="1">
      <alignment horizontal="center"/>
    </xf>
    <xf numFmtId="2" fontId="19" fillId="0" borderId="31" xfId="0" applyNumberFormat="1" applyFont="1" applyBorder="1" applyAlignment="1">
      <alignment horizontal="center"/>
    </xf>
    <xf numFmtId="2" fontId="19" fillId="0" borderId="32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</xf>
    <xf numFmtId="9" fontId="0" fillId="0" borderId="0" xfId="4" applyFont="1"/>
    <xf numFmtId="2" fontId="36" fillId="0" borderId="24" xfId="0" applyNumberFormat="1" applyFont="1" applyBorder="1"/>
    <xf numFmtId="0" fontId="0" fillId="0" borderId="47" xfId="0" applyBorder="1" applyAlignment="1">
      <alignment shrinkToFit="1"/>
    </xf>
    <xf numFmtId="0" fontId="0" fillId="0" borderId="14" xfId="0" applyBorder="1" applyAlignment="1"/>
    <xf numFmtId="9" fontId="1" fillId="0" borderId="0" xfId="4" applyFont="1"/>
    <xf numFmtId="0" fontId="8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/>
    </xf>
    <xf numFmtId="0" fontId="39" fillId="0" borderId="24" xfId="0" applyFont="1" applyBorder="1" applyAlignment="1">
      <alignment horizontal="center"/>
    </xf>
    <xf numFmtId="0" fontId="39" fillId="0" borderId="25" xfId="0" applyFont="1" applyBorder="1" applyAlignment="1">
      <alignment horizontal="center"/>
    </xf>
    <xf numFmtId="1" fontId="24" fillId="0" borderId="10" xfId="0" applyNumberFormat="1" applyFont="1" applyBorder="1" applyAlignment="1">
      <alignment horizontal="center"/>
    </xf>
    <xf numFmtId="14" fontId="24" fillId="0" borderId="10" xfId="0" applyNumberFormat="1" applyFont="1" applyBorder="1" applyAlignment="1">
      <alignment horizontal="center"/>
    </xf>
    <xf numFmtId="2" fontId="24" fillId="0" borderId="10" xfId="0" applyNumberFormat="1" applyFont="1" applyBorder="1" applyAlignment="1">
      <alignment horizontal="center"/>
    </xf>
    <xf numFmtId="2" fontId="24" fillId="0" borderId="10" xfId="0" applyNumberFormat="1" applyFont="1" applyBorder="1" applyAlignment="1">
      <alignment horizontal="center" vertical="center"/>
    </xf>
    <xf numFmtId="49" fontId="0" fillId="0" borderId="0" xfId="0" applyNumberFormat="1" applyBorder="1"/>
    <xf numFmtId="164" fontId="0" fillId="0" borderId="25" xfId="5" applyFont="1" applyBorder="1" applyAlignment="1"/>
    <xf numFmtId="164" fontId="27" fillId="0" borderId="25" xfId="5" applyFont="1" applyBorder="1" applyAlignment="1">
      <alignment horizontal="right"/>
    </xf>
    <xf numFmtId="164" fontId="1" fillId="0" borderId="26" xfId="5" applyFont="1" applyBorder="1" applyAlignment="1">
      <alignment horizontal="right"/>
    </xf>
    <xf numFmtId="49" fontId="27" fillId="0" borderId="0" xfId="0" applyNumberFormat="1" applyFont="1" applyAlignment="1">
      <alignment vertical="top"/>
    </xf>
    <xf numFmtId="0" fontId="40" fillId="0" borderId="2" xfId="0" applyFont="1" applyBorder="1" applyAlignment="1">
      <alignment horizontal="center"/>
    </xf>
    <xf numFmtId="0" fontId="41" fillId="0" borderId="7" xfId="0" applyFont="1" applyBorder="1" applyAlignment="1">
      <alignment horizontal="center" textRotation="90" wrapText="1"/>
    </xf>
    <xf numFmtId="2" fontId="27" fillId="0" borderId="10" xfId="0" applyNumberFormat="1" applyFont="1" applyBorder="1" applyAlignment="1">
      <alignment horizontal="center" vertical="center" wrapText="1"/>
    </xf>
    <xf numFmtId="2" fontId="42" fillId="0" borderId="24" xfId="0" applyNumberFormat="1" applyFont="1" applyBorder="1"/>
    <xf numFmtId="49" fontId="27" fillId="0" borderId="0" xfId="0" applyNumberFormat="1" applyFont="1"/>
    <xf numFmtId="49" fontId="43" fillId="0" borderId="0" xfId="0" applyNumberFormat="1" applyFont="1" applyAlignment="1">
      <alignment vertical="top"/>
    </xf>
    <xf numFmtId="49" fontId="43" fillId="0" borderId="0" xfId="0" applyNumberFormat="1" applyFont="1"/>
    <xf numFmtId="2" fontId="27" fillId="0" borderId="23" xfId="0" applyNumberFormat="1" applyFont="1" applyBorder="1"/>
    <xf numFmtId="2" fontId="42" fillId="0" borderId="25" xfId="0" applyNumberFormat="1" applyFont="1" applyBorder="1"/>
    <xf numFmtId="0" fontId="27" fillId="0" borderId="10" xfId="0" applyFont="1" applyBorder="1" applyAlignment="1">
      <alignment horizontal="center" vertical="center" wrapText="1"/>
    </xf>
    <xf numFmtId="2" fontId="27" fillId="0" borderId="24" xfId="0" applyNumberFormat="1" applyFont="1" applyBorder="1" applyAlignment="1">
      <alignment horizontal="right"/>
    </xf>
    <xf numFmtId="2" fontId="27" fillId="0" borderId="29" xfId="0" applyNumberFormat="1" applyFont="1" applyBorder="1"/>
    <xf numFmtId="0" fontId="0" fillId="0" borderId="10" xfId="0" applyNumberFormat="1" applyBorder="1" applyAlignment="1">
      <alignment horizontal="center"/>
    </xf>
    <xf numFmtId="2" fontId="4" fillId="0" borderId="0" xfId="0" applyNumberFormat="1" applyFont="1" applyAlignment="1">
      <alignment horizontal="centerContinuous" vertical="top"/>
    </xf>
    <xf numFmtId="2" fontId="0" fillId="0" borderId="0" xfId="0" applyNumberFormat="1" applyAlignment="1"/>
    <xf numFmtId="2" fontId="8" fillId="0" borderId="7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Continuous"/>
    </xf>
    <xf numFmtId="2" fontId="0" fillId="0" borderId="0" xfId="0" applyNumberFormat="1" applyAlignment="1">
      <alignment vertical="center" wrapText="1"/>
    </xf>
    <xf numFmtId="2" fontId="39" fillId="0" borderId="24" xfId="0" applyNumberFormat="1" applyFont="1" applyBorder="1" applyAlignment="1">
      <alignment horizontal="center"/>
    </xf>
    <xf numFmtId="4" fontId="41" fillId="0" borderId="7" xfId="0" applyNumberFormat="1" applyFont="1" applyBorder="1" applyAlignment="1">
      <alignment horizontal="center" textRotation="90" wrapText="1"/>
    </xf>
    <xf numFmtId="166" fontId="19" fillId="0" borderId="0" xfId="0" applyNumberFormat="1" applyFont="1" applyBorder="1" applyAlignment="1" applyProtection="1">
      <alignment horizontal="left"/>
    </xf>
    <xf numFmtId="0" fontId="0" fillId="0" borderId="24" xfId="0" applyBorder="1" applyAlignment="1" applyProtection="1">
      <alignment horizontal="center"/>
    </xf>
    <xf numFmtId="0" fontId="0" fillId="0" borderId="7" xfId="0" applyBorder="1" applyAlignment="1" applyProtection="1">
      <alignment horizontal="center" vertical="top" wrapText="1"/>
    </xf>
    <xf numFmtId="0" fontId="0" fillId="0" borderId="0" xfId="0" applyAlignment="1" applyProtection="1">
      <alignment horizontal="center"/>
    </xf>
    <xf numFmtId="166" fontId="19" fillId="0" borderId="18" xfId="0" applyNumberFormat="1" applyFont="1" applyBorder="1" applyAlignment="1" applyProtection="1">
      <alignment horizontal="left"/>
    </xf>
    <xf numFmtId="49" fontId="11" fillId="0" borderId="0" xfId="1" applyNumberFormat="1" applyFont="1" applyFill="1" applyAlignment="1">
      <alignment horizontal="left" vertical="center"/>
    </xf>
    <xf numFmtId="14" fontId="0" fillId="0" borderId="0" xfId="0" applyNumberFormat="1" applyAlignment="1">
      <alignment vertical="center" wrapText="1"/>
    </xf>
    <xf numFmtId="0" fontId="0" fillId="0" borderId="6" xfId="0" applyBorder="1"/>
    <xf numFmtId="0" fontId="0" fillId="0" borderId="7" xfId="0" applyBorder="1"/>
    <xf numFmtId="2" fontId="44" fillId="0" borderId="7" xfId="0" applyNumberFormat="1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167" fontId="44" fillId="0" borderId="7" xfId="0" applyNumberFormat="1" applyFont="1" applyBorder="1" applyAlignment="1">
      <alignment horizontal="center" vertical="center" wrapText="1"/>
    </xf>
    <xf numFmtId="0" fontId="44" fillId="0" borderId="8" xfId="0" applyFont="1" applyBorder="1" applyAlignment="1">
      <alignment horizontal="center" vertical="center" wrapText="1"/>
    </xf>
    <xf numFmtId="1" fontId="7" fillId="0" borderId="24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0" borderId="16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44" fillId="0" borderId="41" xfId="0" applyFont="1" applyBorder="1" applyAlignment="1">
      <alignment horizontal="right" vertical="center" wrapText="1"/>
    </xf>
    <xf numFmtId="0" fontId="0" fillId="0" borderId="53" xfId="0" applyBorder="1" applyAlignment="1"/>
    <xf numFmtId="0" fontId="0" fillId="0" borderId="0" xfId="0" applyFont="1" applyBorder="1" applyAlignment="1">
      <alignment vertical="top" wrapText="1"/>
    </xf>
    <xf numFmtId="0" fontId="0" fillId="0" borderId="0" xfId="0" applyFont="1" applyBorder="1" applyAlignment="1">
      <alignment vertical="top"/>
    </xf>
    <xf numFmtId="0" fontId="44" fillId="0" borderId="42" xfId="0" applyFont="1" applyBorder="1" applyAlignment="1">
      <alignment vertical="center" wrapText="1"/>
    </xf>
    <xf numFmtId="0" fontId="44" fillId="0" borderId="52" xfId="0" applyFont="1" applyBorder="1" applyAlignment="1">
      <alignment vertical="center" wrapText="1"/>
    </xf>
    <xf numFmtId="0" fontId="1" fillId="0" borderId="38" xfId="0" applyFont="1" applyBorder="1" applyAlignment="1">
      <alignment horizontal="left"/>
    </xf>
    <xf numFmtId="14" fontId="0" fillId="0" borderId="46" xfId="0" applyNumberFormat="1" applyBorder="1"/>
    <xf numFmtId="0" fontId="0" fillId="0" borderId="46" xfId="0" applyBorder="1"/>
    <xf numFmtId="0" fontId="0" fillId="0" borderId="35" xfId="0" applyBorder="1"/>
    <xf numFmtId="2" fontId="1" fillId="0" borderId="54" xfId="0" applyNumberFormat="1" applyFont="1" applyBorder="1"/>
    <xf numFmtId="0" fontId="0" fillId="0" borderId="30" xfId="0" applyBorder="1"/>
    <xf numFmtId="14" fontId="0" fillId="0" borderId="2" xfId="0" applyNumberFormat="1" applyBorder="1"/>
    <xf numFmtId="0" fontId="0" fillId="0" borderId="2" xfId="0" applyBorder="1"/>
    <xf numFmtId="2" fontId="0" fillId="0" borderId="3" xfId="0" applyNumberFormat="1" applyBorder="1"/>
    <xf numFmtId="0" fontId="0" fillId="0" borderId="31" xfId="0" applyBorder="1"/>
    <xf numFmtId="14" fontId="0" fillId="0" borderId="50" xfId="0" applyNumberFormat="1" applyBorder="1"/>
    <xf numFmtId="0" fontId="0" fillId="0" borderId="50" xfId="0" applyBorder="1"/>
    <xf numFmtId="2" fontId="0" fillId="0" borderId="32" xfId="0" applyNumberFormat="1" applyBorder="1"/>
    <xf numFmtId="14" fontId="0" fillId="0" borderId="17" xfId="0" applyNumberFormat="1" applyBorder="1"/>
    <xf numFmtId="0" fontId="0" fillId="0" borderId="12" xfId="0" applyBorder="1"/>
    <xf numFmtId="0" fontId="0" fillId="0" borderId="55" xfId="0" applyBorder="1" applyAlignment="1"/>
    <xf numFmtId="0" fontId="0" fillId="0" borderId="56" xfId="0" applyBorder="1" applyAlignment="1">
      <alignment shrinkToFit="1"/>
    </xf>
    <xf numFmtId="0" fontId="0" fillId="0" borderId="42" xfId="0" applyBorder="1" applyAlignment="1"/>
    <xf numFmtId="0" fontId="0" fillId="0" borderId="41" xfId="0" applyBorder="1" applyAlignment="1">
      <alignment shrinkToFi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left" wrapText="1"/>
    </xf>
    <xf numFmtId="0" fontId="21" fillId="0" borderId="0" xfId="0" applyFont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5" fontId="0" fillId="0" borderId="0" xfId="0" applyNumberFormat="1" applyBorder="1" applyAlignment="1">
      <alignment horizontal="right" vertical="top"/>
    </xf>
    <xf numFmtId="0" fontId="0" fillId="0" borderId="0" xfId="0" applyAlignment="1">
      <alignment horizontal="left" wrapText="1"/>
    </xf>
    <xf numFmtId="0" fontId="22" fillId="0" borderId="0" xfId="0" applyFont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left" vertical="top" wrapText="1"/>
    </xf>
    <xf numFmtId="0" fontId="1" fillId="0" borderId="22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/>
    </xf>
    <xf numFmtId="0" fontId="23" fillId="0" borderId="24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" fillId="0" borderId="0" xfId="0" applyFont="1" applyAlignment="1">
      <alignment horizontal="right" vertical="top" wrapText="1"/>
    </xf>
    <xf numFmtId="0" fontId="6" fillId="0" borderId="0" xfId="0" applyFont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0" fontId="8" fillId="0" borderId="49" xfId="0" applyFont="1" applyBorder="1" applyAlignment="1">
      <alignment horizontal="center" vertical="center" wrapText="1"/>
    </xf>
    <xf numFmtId="0" fontId="8" fillId="0" borderId="51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4" fontId="8" fillId="0" borderId="2" xfId="0" applyNumberFormat="1" applyFont="1" applyBorder="1" applyAlignment="1">
      <alignment horizontal="center" vertical="center" wrapText="1"/>
    </xf>
    <xf numFmtId="0" fontId="9" fillId="0" borderId="0" xfId="0" applyFont="1" applyFill="1" applyAlignment="1">
      <alignment horizontal="left" vertical="top" wrapText="1"/>
    </xf>
    <xf numFmtId="49" fontId="11" fillId="0" borderId="0" xfId="1" applyNumberFormat="1" applyFont="1" applyFill="1" applyAlignment="1">
      <alignment horizontal="left" vertical="center"/>
    </xf>
    <xf numFmtId="49" fontId="12" fillId="0" borderId="0" xfId="1" applyNumberFormat="1" applyFont="1" applyFill="1" applyAlignment="1">
      <alignment horizontal="left" vertical="center"/>
    </xf>
    <xf numFmtId="49" fontId="11" fillId="0" borderId="0" xfId="1" applyNumberFormat="1" applyFont="1" applyFill="1" applyAlignment="1">
      <alignment horizontal="center" vertical="center"/>
    </xf>
    <xf numFmtId="49" fontId="12" fillId="0" borderId="19" xfId="1" applyNumberFormat="1" applyFont="1" applyFill="1" applyBorder="1" applyAlignment="1">
      <alignment horizontal="left" vertical="center"/>
    </xf>
    <xf numFmtId="49" fontId="12" fillId="0" borderId="16" xfId="1" applyNumberFormat="1" applyFont="1" applyFill="1" applyBorder="1" applyAlignment="1">
      <alignment horizontal="left" vertical="center"/>
    </xf>
    <xf numFmtId="49" fontId="12" fillId="0" borderId="20" xfId="1" applyNumberFormat="1" applyFont="1" applyFill="1" applyBorder="1" applyAlignment="1">
      <alignment horizontal="left" vertical="center"/>
    </xf>
    <xf numFmtId="49" fontId="12" fillId="0" borderId="19" xfId="1" applyNumberFormat="1" applyFont="1" applyFill="1" applyBorder="1" applyAlignment="1">
      <alignment horizontal="center" vertical="center"/>
    </xf>
    <xf numFmtId="49" fontId="12" fillId="0" borderId="16" xfId="1" applyNumberFormat="1" applyFont="1" applyFill="1" applyBorder="1" applyAlignment="1">
      <alignment horizontal="center" vertical="center"/>
    </xf>
    <xf numFmtId="49" fontId="12" fillId="0" borderId="20" xfId="1" applyNumberFormat="1" applyFont="1" applyFill="1" applyBorder="1" applyAlignment="1">
      <alignment horizontal="center" vertical="center"/>
    </xf>
    <xf numFmtId="49" fontId="12" fillId="0" borderId="17" xfId="1" applyNumberFormat="1" applyFont="1" applyFill="1" applyBorder="1" applyAlignment="1">
      <alignment horizontal="left" vertical="center"/>
    </xf>
    <xf numFmtId="49" fontId="12" fillId="0" borderId="18" xfId="1" applyNumberFormat="1" applyFont="1" applyFill="1" applyBorder="1" applyAlignment="1">
      <alignment horizontal="left" vertical="center"/>
    </xf>
    <xf numFmtId="49" fontId="12" fillId="0" borderId="12" xfId="1" applyNumberFormat="1" applyFont="1" applyFill="1" applyBorder="1" applyAlignment="1">
      <alignment horizontal="left" vertical="center"/>
    </xf>
    <xf numFmtId="49" fontId="12" fillId="0" borderId="17" xfId="1" applyNumberFormat="1" applyFont="1" applyFill="1" applyBorder="1" applyAlignment="1">
      <alignment horizontal="left" vertical="center" wrapText="1"/>
    </xf>
    <xf numFmtId="49" fontId="12" fillId="0" borderId="18" xfId="1" applyNumberFormat="1" applyFont="1" applyFill="1" applyBorder="1" applyAlignment="1">
      <alignment horizontal="left" vertical="center" wrapText="1"/>
    </xf>
    <xf numFmtId="49" fontId="12" fillId="0" borderId="12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/>
    </xf>
    <xf numFmtId="49" fontId="13" fillId="0" borderId="0" xfId="1" applyNumberFormat="1" applyFont="1" applyFill="1" applyBorder="1" applyAlignment="1">
      <alignment horizontal="right" vertical="center"/>
    </xf>
    <xf numFmtId="0" fontId="29" fillId="0" borderId="0" xfId="1" applyNumberFormat="1" applyFont="1" applyFill="1" applyBorder="1" applyAlignment="1">
      <alignment horizontal="center" vertical="center"/>
    </xf>
    <xf numFmtId="49" fontId="29" fillId="0" borderId="0" xfId="1" applyNumberFormat="1" applyFont="1" applyFill="1" applyBorder="1" applyAlignment="1">
      <alignment horizontal="center" vertical="center"/>
    </xf>
    <xf numFmtId="165" fontId="14" fillId="0" borderId="0" xfId="1" applyNumberFormat="1" applyFont="1" applyFill="1" applyBorder="1" applyAlignment="1">
      <alignment horizontal="center" vertical="center"/>
    </xf>
    <xf numFmtId="49" fontId="12" fillId="0" borderId="1" xfId="1" applyNumberFormat="1" applyFont="1" applyFill="1" applyBorder="1" applyAlignment="1">
      <alignment horizontal="center" vertical="center" wrapText="1"/>
    </xf>
    <xf numFmtId="49" fontId="15" fillId="0" borderId="1" xfId="1" applyNumberFormat="1" applyFont="1" applyFill="1" applyBorder="1" applyAlignment="1">
      <alignment horizontal="center" vertical="center" wrapText="1"/>
    </xf>
    <xf numFmtId="49" fontId="12" fillId="0" borderId="0" xfId="1" applyNumberFormat="1" applyFont="1" applyFill="1" applyBorder="1" applyAlignment="1">
      <alignment horizontal="left" vertical="center"/>
    </xf>
    <xf numFmtId="0" fontId="15" fillId="0" borderId="18" xfId="1" applyNumberFormat="1" applyFont="1" applyFill="1" applyBorder="1" applyAlignment="1">
      <alignment horizontal="left" vertical="center"/>
    </xf>
    <xf numFmtId="0" fontId="15" fillId="0" borderId="15" xfId="1" applyNumberFormat="1" applyFont="1" applyFill="1" applyBorder="1" applyAlignment="1">
      <alignment horizontal="left" vertical="center"/>
    </xf>
    <xf numFmtId="49" fontId="16" fillId="0" borderId="0" xfId="1" applyNumberFormat="1" applyFont="1" applyFill="1" applyBorder="1" applyAlignment="1">
      <alignment horizontal="left" vertical="center" wrapText="1"/>
    </xf>
    <xf numFmtId="4" fontId="10" fillId="0" borderId="1" xfId="1" applyNumberFormat="1" applyFont="1" applyFill="1" applyBorder="1" applyAlignment="1">
      <alignment horizontal="right" vertical="center"/>
    </xf>
    <xf numFmtId="4" fontId="10" fillId="0" borderId="1" xfId="1" applyNumberFormat="1" applyFill="1" applyBorder="1" applyAlignment="1">
      <alignment horizontal="right" vertical="center"/>
    </xf>
    <xf numFmtId="0" fontId="10" fillId="0" borderId="1" xfId="1" applyNumberFormat="1" applyFont="1" applyFill="1" applyBorder="1" applyAlignment="1" applyProtection="1">
      <alignment horizontal="left" vertical="center" wrapText="1"/>
    </xf>
    <xf numFmtId="4" fontId="10" fillId="0" borderId="1" xfId="1" applyNumberFormat="1" applyFont="1" applyFill="1" applyBorder="1" applyAlignment="1">
      <alignment horizontal="center" vertical="center"/>
    </xf>
    <xf numFmtId="4" fontId="25" fillId="0" borderId="1" xfId="1" applyNumberFormat="1" applyFont="1" applyFill="1" applyBorder="1" applyAlignment="1">
      <alignment horizontal="right" vertical="center"/>
    </xf>
    <xf numFmtId="4" fontId="11" fillId="0" borderId="0" xfId="1" applyNumberFormat="1" applyFont="1" applyFill="1" applyBorder="1" applyAlignment="1">
      <alignment horizontal="right" vertical="center"/>
    </xf>
    <xf numFmtId="4" fontId="6" fillId="0" borderId="1" xfId="1" applyNumberFormat="1" applyFont="1" applyFill="1" applyBorder="1" applyAlignment="1">
      <alignment horizontal="right" vertical="center"/>
    </xf>
    <xf numFmtId="0" fontId="12" fillId="0" borderId="0" xfId="1" applyFont="1" applyFill="1" applyAlignment="1">
      <alignment horizontal="left" vertical="center"/>
    </xf>
    <xf numFmtId="49" fontId="10" fillId="0" borderId="18" xfId="1" applyNumberFormat="1" applyFill="1" applyBorder="1" applyAlignment="1">
      <alignment horizontal="center" vertical="center"/>
    </xf>
    <xf numFmtId="0" fontId="19" fillId="0" borderId="38" xfId="0" applyFont="1" applyBorder="1" applyAlignment="1" applyProtection="1">
      <alignment horizontal="left"/>
    </xf>
    <xf numFmtId="0" fontId="19" fillId="0" borderId="46" xfId="0" applyFont="1" applyBorder="1" applyAlignment="1" applyProtection="1">
      <alignment horizontal="left"/>
    </xf>
    <xf numFmtId="0" fontId="19" fillId="0" borderId="34" xfId="0" applyFont="1" applyBorder="1" applyAlignment="1" applyProtection="1">
      <alignment horizontal="left"/>
    </xf>
    <xf numFmtId="2" fontId="19" fillId="0" borderId="38" xfId="0" applyNumberFormat="1" applyFont="1" applyBorder="1" applyAlignment="1">
      <alignment horizontal="center"/>
    </xf>
    <xf numFmtId="2" fontId="19" fillId="0" borderId="35" xfId="0" applyNumberFormat="1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30" xfId="0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2" fontId="0" fillId="0" borderId="36" xfId="0" applyNumberFormat="1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0" fontId="0" fillId="0" borderId="49" xfId="0" applyBorder="1" applyAlignment="1" applyProtection="1">
      <alignment horizontal="center" vertical="center" wrapText="1"/>
    </xf>
    <xf numFmtId="0" fontId="0" fillId="0" borderId="50" xfId="0" applyBorder="1" applyAlignment="1" applyProtection="1">
      <alignment horizontal="center" vertical="center" wrapText="1"/>
    </xf>
    <xf numFmtId="0" fontId="0" fillId="0" borderId="37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17" fillId="0" borderId="0" xfId="0" applyFont="1" applyAlignment="1">
      <alignment horizontal="center" vertical="top" wrapText="1"/>
    </xf>
    <xf numFmtId="0" fontId="0" fillId="0" borderId="45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9" fontId="30" fillId="0" borderId="3" xfId="3" applyFont="1" applyBorder="1" applyAlignment="1">
      <alignment horizontal="center" vertical="center"/>
    </xf>
    <xf numFmtId="9" fontId="30" fillId="0" borderId="8" xfId="3" applyFon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4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0" fontId="0" fillId="0" borderId="30" xfId="0" applyBorder="1" applyAlignment="1" applyProtection="1">
      <alignment horizontal="center" vertical="top" wrapText="1"/>
    </xf>
    <xf numFmtId="0" fontId="0" fillId="0" borderId="2" xfId="0" applyBorder="1" applyAlignment="1" applyProtection="1">
      <alignment horizontal="center" vertical="top" wrapText="1"/>
    </xf>
    <xf numFmtId="0" fontId="0" fillId="0" borderId="6" xfId="0" applyBorder="1" applyAlignment="1" applyProtection="1">
      <alignment horizontal="center" vertical="top" wrapText="1"/>
    </xf>
    <xf numFmtId="0" fontId="0" fillId="0" borderId="7" xfId="0" applyBorder="1" applyAlignment="1" applyProtection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36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49" fontId="19" fillId="0" borderId="18" xfId="0" applyNumberFormat="1" applyFont="1" applyBorder="1" applyAlignment="1" applyProtection="1">
      <alignment horizontal="left"/>
    </xf>
    <xf numFmtId="49" fontId="19" fillId="0" borderId="15" xfId="0" applyNumberFormat="1" applyFont="1" applyBorder="1" applyAlignment="1" applyProtection="1">
      <alignment horizontal="left"/>
    </xf>
    <xf numFmtId="0" fontId="0" fillId="0" borderId="36" xfId="0" applyBorder="1" applyAlignment="1" applyProtection="1">
      <alignment horizontal="center" vertical="top" wrapText="1"/>
    </xf>
    <xf numFmtId="0" fontId="0" fillId="0" borderId="48" xfId="0" applyBorder="1" applyAlignment="1" applyProtection="1">
      <alignment horizontal="center" vertical="top" wrapText="1"/>
    </xf>
    <xf numFmtId="0" fontId="0" fillId="0" borderId="37" xfId="0" applyBorder="1" applyAlignment="1" applyProtection="1">
      <alignment horizontal="center" vertical="top" wrapText="1"/>
    </xf>
    <xf numFmtId="0" fontId="0" fillId="0" borderId="0" xfId="0" applyBorder="1" applyAlignment="1">
      <alignment horizontal="right"/>
    </xf>
    <xf numFmtId="0" fontId="19" fillId="0" borderId="18" xfId="0" applyFont="1" applyBorder="1" applyAlignment="1" applyProtection="1">
      <alignment horizontal="left"/>
    </xf>
    <xf numFmtId="0" fontId="0" fillId="0" borderId="15" xfId="0" applyBorder="1" applyAlignment="1" applyProtection="1">
      <alignment horizontal="left" wrapText="1"/>
    </xf>
    <xf numFmtId="0" fontId="0" fillId="0" borderId="15" xfId="0" applyBorder="1" applyAlignment="1" applyProtection="1">
      <alignment horizontal="left"/>
    </xf>
    <xf numFmtId="0" fontId="19" fillId="0" borderId="15" xfId="0" applyFont="1" applyBorder="1" applyAlignment="1" applyProtection="1">
      <alignment horizontal="left"/>
    </xf>
    <xf numFmtId="0" fontId="0" fillId="0" borderId="15" xfId="0" applyBorder="1" applyAlignment="1" applyProtection="1">
      <alignment horizontal="left" vertical="top"/>
    </xf>
    <xf numFmtId="0" fontId="0" fillId="0" borderId="15" xfId="0" applyBorder="1" applyAlignment="1" applyProtection="1">
      <alignment horizontal="left" vertical="top" wrapText="1"/>
    </xf>
    <xf numFmtId="0" fontId="0" fillId="0" borderId="15" xfId="0" applyBorder="1" applyAlignment="1" applyProtection="1">
      <alignment horizontal="center"/>
    </xf>
    <xf numFmtId="166" fontId="19" fillId="0" borderId="15" xfId="0" applyNumberFormat="1" applyFont="1" applyBorder="1" applyAlignment="1" applyProtection="1">
      <alignment horizontal="left"/>
    </xf>
    <xf numFmtId="0" fontId="32" fillId="0" borderId="18" xfId="0" applyFont="1" applyBorder="1" applyAlignment="1" applyProtection="1">
      <alignment horizontal="center"/>
    </xf>
    <xf numFmtId="165" fontId="32" fillId="0" borderId="0" xfId="0" applyNumberFormat="1" applyFont="1" applyBorder="1" applyAlignment="1">
      <alignment horizontal="center"/>
    </xf>
    <xf numFmtId="0" fontId="33" fillId="0" borderId="15" xfId="0" applyFont="1" applyBorder="1" applyAlignment="1" applyProtection="1">
      <alignment horizontal="center"/>
    </xf>
    <xf numFmtId="0" fontId="33" fillId="0" borderId="0" xfId="0" applyFont="1" applyBorder="1" applyAlignment="1">
      <alignment horizontal="center"/>
    </xf>
    <xf numFmtId="0" fontId="2" fillId="0" borderId="0" xfId="0" applyFont="1" applyAlignment="1">
      <alignment horizontal="right" vertical="top" wrapText="1"/>
    </xf>
    <xf numFmtId="0" fontId="18" fillId="0" borderId="18" xfId="0" applyNumberFormat="1" applyFont="1" applyBorder="1" applyAlignment="1" applyProtection="1">
      <alignment horizontal="left"/>
    </xf>
    <xf numFmtId="0" fontId="18" fillId="0" borderId="18" xfId="0" applyFont="1" applyBorder="1" applyAlignment="1" applyProtection="1">
      <alignment horizontal="left"/>
    </xf>
    <xf numFmtId="0" fontId="0" fillId="0" borderId="18" xfId="0" applyFont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0" fillId="0" borderId="0" xfId="0" applyBorder="1" applyAlignment="1" applyProtection="1">
      <alignment horizontal="left" wrapText="1"/>
    </xf>
    <xf numFmtId="0" fontId="19" fillId="0" borderId="24" xfId="0" applyFont="1" applyBorder="1" applyAlignment="1" applyProtection="1">
      <alignment horizontal="center" vertical="center" wrapText="1"/>
    </xf>
    <xf numFmtId="0" fontId="0" fillId="0" borderId="24" xfId="0" applyBorder="1" applyAlignment="1" applyProtection="1">
      <alignment horizontal="left" vertical="center" wrapText="1"/>
    </xf>
    <xf numFmtId="0" fontId="17" fillId="0" borderId="0" xfId="0" applyFont="1" applyBorder="1" applyAlignment="1" applyProtection="1">
      <alignment horizontal="center" vertical="top"/>
    </xf>
    <xf numFmtId="0" fontId="1" fillId="0" borderId="0" xfId="0" applyFont="1" applyBorder="1" applyAlignment="1">
      <alignment horizontal="right"/>
    </xf>
    <xf numFmtId="0" fontId="1" fillId="0" borderId="3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164" fontId="27" fillId="0" borderId="24" xfId="5" applyFont="1" applyBorder="1" applyAlignment="1">
      <alignment horizontal="right"/>
    </xf>
    <xf numFmtId="164" fontId="0" fillId="0" borderId="24" xfId="5" applyFont="1" applyBorder="1" applyAlignment="1">
      <alignment horizontal="right"/>
    </xf>
  </cellXfs>
  <cellStyles count="6">
    <cellStyle name="Обычный" xfId="0" builtinId="0"/>
    <cellStyle name="Обычный 2" xfId="2"/>
    <cellStyle name="Обычный_Лист1" xfId="1"/>
    <cellStyle name="Процентный" xfId="4" builtinId="5"/>
    <cellStyle name="Процентный 2" xfId="3"/>
    <cellStyle name="Финансовый" xfId="5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rom%20REKOM/&#1052;&#1086;&#1080;&#1044;&#1086;&#1082;&#1091;&#1084;&#1077;&#1085;&#1090;&#1099;/&#1056;&#1072;&#1073;&#1086;&#1090;&#1072;/%23&#1056;&#1077;&#1048;&#1085;&#1092;&#1086;&#1050;&#1086;&#1084;/%23&#1057;&#1095;&#1077;&#1090;&#1072;-&#1060;&#1072;&#1082;&#1090;&#1091;&#1088;&#1099;/2012_05_05_&#1040;&#1087;&#1088;&#1077;&#1083;&#110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.Данные"/>
      <sheetName val="АКТ"/>
      <sheetName val="С-Ф"/>
      <sheetName val="ФСК"/>
      <sheetName val="Счет"/>
    </sheetNames>
    <sheetDataSet>
      <sheetData sheetId="0">
        <row r="2">
          <cell r="I2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G92"/>
  <sheetViews>
    <sheetView tabSelected="1" workbookViewId="0">
      <pane xSplit="1" ySplit="1" topLeftCell="B2" activePane="bottomRight" state="frozen"/>
      <selection activeCell="E74" sqref="E74"/>
      <selection pane="topRight" activeCell="E74" sqref="E74"/>
      <selection pane="bottomLeft" activeCell="E74" sqref="E74"/>
      <selection pane="bottomRight" activeCell="T4" sqref="T4"/>
    </sheetView>
  </sheetViews>
  <sheetFormatPr defaultRowHeight="15" x14ac:dyDescent="0.25"/>
  <cols>
    <col min="1" max="1" width="49" bestFit="1" customWidth="1"/>
    <col min="2" max="2" width="21.140625" customWidth="1"/>
    <col min="3" max="3" width="10.140625" bestFit="1" customWidth="1"/>
    <col min="4" max="4" width="22.85546875" customWidth="1"/>
    <col min="5" max="5" width="10.85546875" bestFit="1" customWidth="1"/>
    <col min="6" max="6" width="22.5703125" bestFit="1" customWidth="1"/>
    <col min="7" max="7" width="10.140625" bestFit="1" customWidth="1"/>
    <col min="18" max="19" width="10.140625" bestFit="1" customWidth="1"/>
  </cols>
  <sheetData>
    <row r="1" spans="1:33" ht="150" customHeight="1" thickBot="1" x14ac:dyDescent="0.3">
      <c r="A1" s="76" t="s">
        <v>0</v>
      </c>
      <c r="B1" s="77" t="s">
        <v>1</v>
      </c>
      <c r="F1" s="77" t="s">
        <v>2</v>
      </c>
      <c r="H1" s="77" t="s">
        <v>3</v>
      </c>
      <c r="I1" s="77" t="s">
        <v>4</v>
      </c>
      <c r="J1" s="77" t="s">
        <v>5</v>
      </c>
      <c r="K1" s="77" t="s">
        <v>6</v>
      </c>
      <c r="L1" s="77" t="s">
        <v>7</v>
      </c>
      <c r="M1" s="77" t="s">
        <v>8</v>
      </c>
      <c r="N1" s="77" t="s">
        <v>9</v>
      </c>
      <c r="O1" s="78" t="s">
        <v>10</v>
      </c>
    </row>
    <row r="2" spans="1:33" x14ac:dyDescent="0.25">
      <c r="A2" t="s">
        <v>204</v>
      </c>
      <c r="B2" t="s">
        <v>205</v>
      </c>
      <c r="C2" s="27">
        <v>41715</v>
      </c>
      <c r="D2">
        <v>3128022317</v>
      </c>
      <c r="E2">
        <v>312801001</v>
      </c>
      <c r="F2" t="s">
        <v>206</v>
      </c>
      <c r="G2" s="27">
        <v>43738</v>
      </c>
      <c r="H2">
        <v>19.28</v>
      </c>
      <c r="I2">
        <v>2</v>
      </c>
      <c r="J2">
        <v>19.28</v>
      </c>
      <c r="K2">
        <v>23.13</v>
      </c>
      <c r="L2">
        <v>18.059999999999999</v>
      </c>
      <c r="M2">
        <v>21.67</v>
      </c>
      <c r="N2">
        <v>1.22</v>
      </c>
      <c r="O2">
        <v>1.46</v>
      </c>
      <c r="P2" s="144">
        <f>1-M2/K2</f>
        <v>6.3121487246000751E-2</v>
      </c>
      <c r="Q2">
        <v>1</v>
      </c>
      <c r="R2" s="27"/>
      <c r="S2" s="27"/>
      <c r="T2" s="21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</row>
    <row r="3" spans="1:33" x14ac:dyDescent="0.25">
      <c r="A3" t="s">
        <v>192</v>
      </c>
      <c r="B3" t="s">
        <v>146</v>
      </c>
      <c r="C3" s="27">
        <v>41254</v>
      </c>
      <c r="D3">
        <v>3128051734</v>
      </c>
      <c r="E3">
        <v>312801001</v>
      </c>
      <c r="F3" t="s">
        <v>207</v>
      </c>
      <c r="G3" s="27">
        <v>43738</v>
      </c>
      <c r="H3">
        <v>722.43</v>
      </c>
      <c r="I3">
        <v>2</v>
      </c>
      <c r="J3">
        <v>722.43</v>
      </c>
      <c r="K3">
        <v>866.91</v>
      </c>
      <c r="L3">
        <v>592.73</v>
      </c>
      <c r="M3">
        <v>711.28</v>
      </c>
      <c r="N3">
        <v>129.69999999999999</v>
      </c>
      <c r="O3">
        <v>155.63</v>
      </c>
      <c r="P3" s="144">
        <f t="shared" ref="P3" si="0">1-M3/K3</f>
        <v>0.17952267248041898</v>
      </c>
      <c r="Q3">
        <v>2</v>
      </c>
      <c r="S3">
        <v>90</v>
      </c>
      <c r="T3" s="28" t="s">
        <v>224</v>
      </c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</row>
    <row r="4" spans="1:33" x14ac:dyDescent="0.25">
      <c r="C4" s="27"/>
      <c r="G4" s="27"/>
      <c r="P4" s="144"/>
      <c r="S4">
        <v>110</v>
      </c>
      <c r="T4" s="28" t="s">
        <v>225</v>
      </c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</row>
    <row r="5" spans="1:33" x14ac:dyDescent="0.25">
      <c r="C5" s="27"/>
      <c r="G5" s="27"/>
      <c r="P5" s="144"/>
      <c r="S5">
        <v>145</v>
      </c>
      <c r="T5" s="28" t="s">
        <v>226</v>
      </c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</row>
    <row r="6" spans="1:33" x14ac:dyDescent="0.25">
      <c r="C6" s="27"/>
      <c r="G6" s="27"/>
      <c r="P6" s="144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</row>
    <row r="7" spans="1:33" x14ac:dyDescent="0.25">
      <c r="C7" s="27"/>
      <c r="G7" s="27"/>
      <c r="P7" s="144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</row>
    <row r="8" spans="1:33" x14ac:dyDescent="0.25">
      <c r="C8" s="27"/>
      <c r="G8" s="27"/>
      <c r="P8" s="144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</row>
    <row r="9" spans="1:33" x14ac:dyDescent="0.25">
      <c r="C9" s="27"/>
      <c r="G9" s="27"/>
      <c r="P9" s="144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</row>
    <row r="10" spans="1:33" x14ac:dyDescent="0.25">
      <c r="C10" s="27"/>
      <c r="G10" s="27"/>
      <c r="P10" s="144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</row>
    <row r="11" spans="1:33" x14ac:dyDescent="0.25">
      <c r="C11" s="27"/>
      <c r="G11" s="27"/>
      <c r="P11" s="144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</row>
    <row r="12" spans="1:33" x14ac:dyDescent="0.25">
      <c r="C12" s="27"/>
      <c r="G12" s="27"/>
      <c r="P12" s="144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</row>
    <row r="13" spans="1:33" x14ac:dyDescent="0.25">
      <c r="C13" s="27"/>
      <c r="G13" s="27"/>
      <c r="P13" s="144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3" x14ac:dyDescent="0.25">
      <c r="C14" s="27"/>
      <c r="G14" s="27"/>
      <c r="P14" s="144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</row>
    <row r="15" spans="1:33" x14ac:dyDescent="0.25">
      <c r="C15" s="27"/>
      <c r="G15" s="27"/>
      <c r="P15" s="144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</row>
    <row r="16" spans="1:33" x14ac:dyDescent="0.25">
      <c r="C16" s="27"/>
      <c r="G16" s="27"/>
      <c r="P16" s="144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</row>
    <row r="17" spans="3:33" x14ac:dyDescent="0.25">
      <c r="C17" s="27"/>
      <c r="G17" s="27"/>
      <c r="P17" s="144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</row>
    <row r="18" spans="3:33" x14ac:dyDescent="0.25">
      <c r="C18" s="27"/>
      <c r="G18" s="27"/>
      <c r="P18" s="144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</row>
    <row r="19" spans="3:33" x14ac:dyDescent="0.25">
      <c r="C19" s="27"/>
      <c r="G19" s="27"/>
      <c r="P19" s="144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</row>
    <row r="20" spans="3:33" x14ac:dyDescent="0.25">
      <c r="C20" s="27"/>
      <c r="G20" s="27"/>
      <c r="P20" s="144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</row>
    <row r="21" spans="3:33" x14ac:dyDescent="0.25">
      <c r="C21" s="27"/>
      <c r="G21" s="27"/>
      <c r="P21" s="144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</row>
    <row r="22" spans="3:33" x14ac:dyDescent="0.25">
      <c r="C22" s="27"/>
      <c r="G22" s="27"/>
      <c r="P22" s="144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</row>
    <row r="23" spans="3:33" x14ac:dyDescent="0.25">
      <c r="C23" s="27"/>
      <c r="G23" s="27"/>
      <c r="P23" s="144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</row>
    <row r="24" spans="3:33" x14ac:dyDescent="0.25">
      <c r="C24" s="27"/>
      <c r="G24" s="27"/>
      <c r="P24" s="144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</row>
    <row r="25" spans="3:33" x14ac:dyDescent="0.25">
      <c r="C25" s="27"/>
      <c r="G25" s="27"/>
      <c r="P25" s="144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3:33" x14ac:dyDescent="0.25">
      <c r="C26" s="27"/>
      <c r="G26" s="27"/>
      <c r="P26" s="144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</row>
    <row r="27" spans="3:33" x14ac:dyDescent="0.25">
      <c r="C27" s="27"/>
      <c r="G27" s="27"/>
      <c r="P27" s="144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</row>
    <row r="28" spans="3:33" x14ac:dyDescent="0.25">
      <c r="C28" s="27"/>
      <c r="G28" s="27"/>
      <c r="P28" s="144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</row>
    <row r="29" spans="3:33" x14ac:dyDescent="0.25">
      <c r="C29" s="27"/>
      <c r="G29" s="27"/>
      <c r="P29" s="144"/>
    </row>
    <row r="30" spans="3:33" x14ac:dyDescent="0.25">
      <c r="C30" s="27"/>
      <c r="G30" s="27"/>
      <c r="P30" s="144"/>
    </row>
    <row r="31" spans="3:33" x14ac:dyDescent="0.25">
      <c r="C31" s="27"/>
      <c r="G31" s="27"/>
      <c r="P31" s="144"/>
    </row>
    <row r="32" spans="3:33" x14ac:dyDescent="0.25">
      <c r="C32" s="27"/>
      <c r="G32" s="27"/>
      <c r="P32" s="144"/>
    </row>
    <row r="33" spans="1:16" x14ac:dyDescent="0.25">
      <c r="C33" s="27"/>
      <c r="G33" s="27"/>
      <c r="P33" s="144"/>
    </row>
    <row r="34" spans="1:16" x14ac:dyDescent="0.25">
      <c r="C34" s="27"/>
      <c r="G34" s="27"/>
      <c r="P34" s="144"/>
    </row>
    <row r="35" spans="1:16" x14ac:dyDescent="0.25">
      <c r="C35" s="27"/>
      <c r="G35" s="27"/>
      <c r="P35" s="144"/>
    </row>
    <row r="36" spans="1:16" x14ac:dyDescent="0.25">
      <c r="C36" s="27"/>
      <c r="G36" s="27"/>
      <c r="P36" s="144"/>
    </row>
    <row r="37" spans="1:16" x14ac:dyDescent="0.25">
      <c r="C37" s="27"/>
      <c r="G37" s="27"/>
      <c r="P37" s="144"/>
    </row>
    <row r="38" spans="1:16" x14ac:dyDescent="0.25">
      <c r="C38" s="27"/>
      <c r="G38" s="27"/>
      <c r="P38" s="144"/>
    </row>
    <row r="39" spans="1:16" x14ac:dyDescent="0.25">
      <c r="A39" s="11"/>
      <c r="B39" s="11"/>
      <c r="C39" s="186"/>
      <c r="D39" s="11"/>
      <c r="E39" s="11"/>
      <c r="F39" s="11"/>
      <c r="G39" s="186"/>
      <c r="H39" s="11"/>
      <c r="I39" s="11"/>
      <c r="J39" s="11"/>
      <c r="K39" s="11"/>
      <c r="L39" s="11"/>
      <c r="M39" s="11"/>
      <c r="N39" s="11"/>
      <c r="O39" s="11"/>
      <c r="P39" s="144"/>
    </row>
    <row r="40" spans="1:16" x14ac:dyDescent="0.25">
      <c r="A40" s="11"/>
      <c r="B40" s="11"/>
      <c r="C40" s="186"/>
      <c r="D40" s="11"/>
      <c r="E40" s="11"/>
      <c r="F40" s="11"/>
      <c r="G40" s="186"/>
      <c r="H40" s="11"/>
      <c r="I40" s="11"/>
      <c r="J40" s="11"/>
      <c r="K40" s="11"/>
      <c r="L40" s="11"/>
      <c r="M40" s="11"/>
      <c r="N40" s="11"/>
      <c r="O40" s="11"/>
      <c r="P40" s="144"/>
    </row>
    <row r="41" spans="1:16" x14ac:dyDescent="0.25">
      <c r="C41" s="27"/>
      <c r="G41" s="27"/>
      <c r="P41" s="144"/>
    </row>
    <row r="42" spans="1:16" x14ac:dyDescent="0.25">
      <c r="C42" s="27"/>
      <c r="G42" s="27"/>
      <c r="P42" s="144"/>
    </row>
    <row r="43" spans="1:16" x14ac:dyDescent="0.25">
      <c r="C43" s="27"/>
      <c r="G43" s="27"/>
      <c r="P43" s="144"/>
    </row>
    <row r="44" spans="1:16" x14ac:dyDescent="0.25">
      <c r="C44" s="27"/>
      <c r="G44" s="27"/>
      <c r="P44" s="144"/>
    </row>
    <row r="45" spans="1:16" x14ac:dyDescent="0.25">
      <c r="C45" s="27"/>
      <c r="G45" s="27"/>
      <c r="P45" s="144"/>
    </row>
    <row r="46" spans="1:16" x14ac:dyDescent="0.25">
      <c r="C46" s="27"/>
      <c r="G46" s="27"/>
      <c r="P46" s="144"/>
    </row>
    <row r="47" spans="1:16" x14ac:dyDescent="0.25">
      <c r="C47" s="27"/>
      <c r="G47" s="27"/>
      <c r="P47" s="144"/>
    </row>
    <row r="48" spans="1:16" x14ac:dyDescent="0.25">
      <c r="C48" s="27"/>
      <c r="G48" s="27"/>
      <c r="P48" s="144"/>
    </row>
    <row r="49" spans="3:16" x14ac:dyDescent="0.25">
      <c r="C49" s="27"/>
      <c r="G49" s="27"/>
      <c r="P49" s="144"/>
    </row>
    <row r="50" spans="3:16" x14ac:dyDescent="0.25">
      <c r="C50" s="27"/>
      <c r="G50" s="27"/>
      <c r="P50" s="144"/>
    </row>
    <row r="51" spans="3:16" x14ac:dyDescent="0.25">
      <c r="C51" s="27"/>
      <c r="G51" s="27"/>
      <c r="P51" s="144"/>
    </row>
    <row r="52" spans="3:16" x14ac:dyDescent="0.25">
      <c r="C52" s="27"/>
      <c r="G52" s="27"/>
      <c r="P52" s="144"/>
    </row>
    <row r="53" spans="3:16" x14ac:dyDescent="0.25">
      <c r="C53" s="27"/>
      <c r="G53" s="27"/>
      <c r="P53" s="144"/>
    </row>
    <row r="54" spans="3:16" x14ac:dyDescent="0.25">
      <c r="C54" s="27"/>
      <c r="G54" s="27"/>
      <c r="P54" s="144"/>
    </row>
    <row r="55" spans="3:16" x14ac:dyDescent="0.25">
      <c r="C55" s="27"/>
      <c r="G55" s="27"/>
      <c r="P55" s="144"/>
    </row>
    <row r="56" spans="3:16" x14ac:dyDescent="0.25">
      <c r="C56" s="27"/>
      <c r="G56" s="27"/>
      <c r="P56" s="144"/>
    </row>
    <row r="57" spans="3:16" x14ac:dyDescent="0.25">
      <c r="C57" s="27"/>
      <c r="G57" s="27"/>
      <c r="P57" s="144"/>
    </row>
    <row r="58" spans="3:16" x14ac:dyDescent="0.25">
      <c r="C58" s="27"/>
      <c r="G58" s="27"/>
      <c r="P58" s="144"/>
    </row>
    <row r="59" spans="3:16" x14ac:dyDescent="0.25">
      <c r="C59" s="27"/>
      <c r="G59" s="27"/>
      <c r="P59" s="144"/>
    </row>
    <row r="60" spans="3:16" x14ac:dyDescent="0.25">
      <c r="C60" s="27"/>
      <c r="G60" s="27"/>
      <c r="P60" s="144"/>
    </row>
    <row r="61" spans="3:16" x14ac:dyDescent="0.25">
      <c r="C61" s="27"/>
      <c r="G61" s="27"/>
      <c r="P61" s="144"/>
    </row>
    <row r="62" spans="3:16" x14ac:dyDescent="0.25">
      <c r="C62" s="27"/>
      <c r="G62" s="27"/>
      <c r="P62" s="144"/>
    </row>
    <row r="63" spans="3:16" x14ac:dyDescent="0.25">
      <c r="C63" s="27"/>
      <c r="G63" s="27"/>
      <c r="P63" s="144" t="e">
        <f t="shared" ref="P63:P78" si="1">1-M63/K63</f>
        <v>#DIV/0!</v>
      </c>
    </row>
    <row r="64" spans="3:16" x14ac:dyDescent="0.25">
      <c r="C64" s="27"/>
      <c r="G64" s="27"/>
      <c r="P64" s="144" t="e">
        <f t="shared" si="1"/>
        <v>#DIV/0!</v>
      </c>
    </row>
    <row r="65" spans="1:16" x14ac:dyDescent="0.25">
      <c r="C65" s="27"/>
      <c r="G65" s="27"/>
      <c r="P65" s="144" t="e">
        <f t="shared" si="1"/>
        <v>#DIV/0!</v>
      </c>
    </row>
    <row r="66" spans="1:16" x14ac:dyDescent="0.25">
      <c r="C66" s="27"/>
      <c r="G66" s="27"/>
      <c r="P66" s="144" t="e">
        <f t="shared" si="1"/>
        <v>#DIV/0!</v>
      </c>
    </row>
    <row r="67" spans="1:16" x14ac:dyDescent="0.25">
      <c r="C67" s="27"/>
      <c r="G67" s="27"/>
      <c r="P67" s="144" t="e">
        <f t="shared" si="1"/>
        <v>#DIV/0!</v>
      </c>
    </row>
    <row r="68" spans="1:16" x14ac:dyDescent="0.25">
      <c r="C68" s="27"/>
      <c r="G68" s="27"/>
      <c r="P68" s="144" t="e">
        <f t="shared" si="1"/>
        <v>#DIV/0!</v>
      </c>
    </row>
    <row r="69" spans="1:16" x14ac:dyDescent="0.25">
      <c r="C69" s="27"/>
      <c r="G69" s="27"/>
      <c r="P69" s="144" t="e">
        <f t="shared" si="1"/>
        <v>#DIV/0!</v>
      </c>
    </row>
    <row r="70" spans="1:16" x14ac:dyDescent="0.25">
      <c r="C70" s="27"/>
      <c r="G70" s="27"/>
      <c r="P70" s="144" t="e">
        <f t="shared" si="1"/>
        <v>#DIV/0!</v>
      </c>
    </row>
    <row r="71" spans="1:16" x14ac:dyDescent="0.25">
      <c r="C71" s="27"/>
      <c r="G71" s="27"/>
      <c r="P71" s="144" t="e">
        <f t="shared" si="1"/>
        <v>#DIV/0!</v>
      </c>
    </row>
    <row r="72" spans="1:16" x14ac:dyDescent="0.25">
      <c r="C72" s="27"/>
      <c r="G72" s="27"/>
      <c r="P72" s="144" t="e">
        <f t="shared" si="1"/>
        <v>#DIV/0!</v>
      </c>
    </row>
    <row r="73" spans="1:16" x14ac:dyDescent="0.25">
      <c r="C73" s="27"/>
      <c r="G73" s="27"/>
      <c r="P73" s="144" t="e">
        <f t="shared" si="1"/>
        <v>#DIV/0!</v>
      </c>
    </row>
    <row r="74" spans="1:16" s="23" customFormat="1" x14ac:dyDescent="0.25">
      <c r="A74"/>
      <c r="B74"/>
      <c r="C74" s="27"/>
      <c r="D74"/>
      <c r="E74"/>
      <c r="F74"/>
      <c r="G74" s="27"/>
      <c r="H74"/>
      <c r="I74"/>
      <c r="J74"/>
      <c r="K74"/>
      <c r="L74"/>
      <c r="M74"/>
      <c r="N74"/>
      <c r="O74"/>
      <c r="P74" s="144" t="e">
        <f t="shared" si="1"/>
        <v>#DIV/0!</v>
      </c>
    </row>
    <row r="75" spans="1:16" x14ac:dyDescent="0.25">
      <c r="C75" s="27"/>
      <c r="G75" s="27"/>
      <c r="P75" s="144" t="e">
        <f t="shared" si="1"/>
        <v>#DIV/0!</v>
      </c>
    </row>
    <row r="76" spans="1:16" x14ac:dyDescent="0.25">
      <c r="C76" s="27"/>
      <c r="G76" s="27"/>
      <c r="P76" s="144" t="e">
        <f t="shared" si="1"/>
        <v>#DIV/0!</v>
      </c>
    </row>
    <row r="77" spans="1:16" x14ac:dyDescent="0.25">
      <c r="C77" s="27"/>
      <c r="G77" s="27"/>
      <c r="P77" s="144" t="e">
        <f t="shared" si="1"/>
        <v>#DIV/0!</v>
      </c>
    </row>
    <row r="78" spans="1:16" x14ac:dyDescent="0.25">
      <c r="C78" s="27"/>
      <c r="G78" s="27"/>
      <c r="P78" s="144" t="e">
        <f t="shared" si="1"/>
        <v>#DIV/0!</v>
      </c>
    </row>
    <row r="79" spans="1:16" x14ac:dyDescent="0.25">
      <c r="C79" s="27"/>
      <c r="G79" s="27"/>
      <c r="P79" s="144"/>
    </row>
    <row r="80" spans="1:16" x14ac:dyDescent="0.25">
      <c r="C80" s="27"/>
      <c r="G80" s="27"/>
      <c r="P80" s="144"/>
    </row>
    <row r="81" spans="3:16" x14ac:dyDescent="0.25">
      <c r="C81" s="27"/>
      <c r="G81" s="27"/>
      <c r="P81" s="144"/>
    </row>
    <row r="82" spans="3:16" x14ac:dyDescent="0.25">
      <c r="C82" s="27"/>
      <c r="G82" s="27"/>
      <c r="P82" s="144"/>
    </row>
    <row r="83" spans="3:16" x14ac:dyDescent="0.25">
      <c r="C83" s="27"/>
      <c r="G83" s="27"/>
    </row>
    <row r="84" spans="3:16" x14ac:dyDescent="0.25">
      <c r="C84" s="27"/>
      <c r="G84" s="27"/>
    </row>
    <row r="85" spans="3:16" x14ac:dyDescent="0.25">
      <c r="C85" s="27"/>
      <c r="G85" s="27"/>
    </row>
    <row r="86" spans="3:16" x14ac:dyDescent="0.25">
      <c r="C86" s="27"/>
      <c r="G86" s="27"/>
    </row>
    <row r="87" spans="3:16" x14ac:dyDescent="0.25">
      <c r="C87" s="27"/>
      <c r="G87" s="27"/>
    </row>
    <row r="88" spans="3:16" x14ac:dyDescent="0.25">
      <c r="C88" s="27"/>
      <c r="G88" s="27"/>
    </row>
    <row r="89" spans="3:16" x14ac:dyDescent="0.25">
      <c r="C89" s="27"/>
      <c r="G89" s="27"/>
    </row>
    <row r="90" spans="3:16" x14ac:dyDescent="0.25">
      <c r="C90" s="27"/>
      <c r="G90" s="27"/>
    </row>
    <row r="91" spans="3:16" x14ac:dyDescent="0.25">
      <c r="C91" s="27"/>
      <c r="G91" s="27"/>
    </row>
    <row r="92" spans="3:16" x14ac:dyDescent="0.25">
      <c r="C92" s="27"/>
      <c r="G92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M120"/>
  <sheetViews>
    <sheetView workbookViewId="0">
      <selection activeCell="O8" sqref="O8"/>
    </sheetView>
  </sheetViews>
  <sheetFormatPr defaultRowHeight="15" x14ac:dyDescent="0.25"/>
  <cols>
    <col min="1" max="1" width="23.140625" customWidth="1"/>
    <col min="2" max="2" width="20.85546875" customWidth="1"/>
    <col min="3" max="3" width="20" customWidth="1"/>
    <col min="4" max="4" width="9.5703125" style="166" bestFit="1" customWidth="1"/>
    <col min="5" max="5" width="6.42578125" style="1" customWidth="1"/>
    <col min="6" max="6" width="8.5703125" style="166" customWidth="1"/>
    <col min="7" max="7" width="9.5703125" style="164" customWidth="1"/>
    <col min="8" max="8" width="11.5703125" style="1" bestFit="1" customWidth="1"/>
    <col min="9" max="9" width="8.85546875" style="164" customWidth="1"/>
    <col min="10" max="10" width="9.28515625" style="1" customWidth="1"/>
    <col min="11" max="11" width="9.140625" style="1" customWidth="1"/>
  </cols>
  <sheetData>
    <row r="1" spans="1:12" ht="15.75" x14ac:dyDescent="0.25">
      <c r="A1" s="226" t="s">
        <v>12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</row>
    <row r="2" spans="1:12" ht="15.75" x14ac:dyDescent="0.25">
      <c r="A2" s="228" t="s">
        <v>11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</row>
    <row r="3" spans="1:12" ht="15.75" x14ac:dyDescent="0.25">
      <c r="A3" s="229" t="str">
        <f>CONCATENATE("за ", TEXT(Данные!G2,"ММММ ГГГГ\г\."))</f>
        <v>за Сентябрь 2019г.</v>
      </c>
      <c r="B3" s="229"/>
      <c r="C3" s="229"/>
      <c r="D3" s="229"/>
      <c r="E3" s="229"/>
      <c r="F3" s="229"/>
      <c r="G3" s="229"/>
      <c r="H3" s="229"/>
      <c r="I3" s="229"/>
      <c r="J3" s="229"/>
      <c r="K3" s="229"/>
    </row>
    <row r="4" spans="1:12" ht="18.75" customHeight="1" x14ac:dyDescent="0.25">
      <c r="A4" s="28" t="s">
        <v>13</v>
      </c>
      <c r="B4" s="28"/>
      <c r="C4" s="28"/>
      <c r="D4" s="165"/>
      <c r="E4" s="5"/>
      <c r="F4" s="165"/>
      <c r="G4" s="159"/>
      <c r="H4" s="5"/>
      <c r="I4" s="230">
        <f>EOMONTH(Данные!G2,0)</f>
        <v>43738</v>
      </c>
      <c r="J4" s="230"/>
      <c r="K4" s="230"/>
    </row>
    <row r="5" spans="1:12" ht="74.25" customHeight="1" x14ac:dyDescent="0.25">
      <c r="A5" s="231" t="s">
        <v>175</v>
      </c>
      <c r="B5" s="231"/>
      <c r="C5" s="231"/>
      <c r="D5" s="231"/>
      <c r="E5" s="231"/>
      <c r="F5" s="231"/>
      <c r="G5" s="231"/>
      <c r="H5" s="231"/>
      <c r="I5" s="231"/>
      <c r="J5" s="231"/>
      <c r="K5" s="231"/>
    </row>
    <row r="6" spans="1:12" ht="30.75" customHeight="1" thickBot="1" x14ac:dyDescent="0.3">
      <c r="A6" s="225" t="str">
        <f>CONCATENATE("1. В соответствии с Агентским договором за период с 01.",TEXT(Данные!G2,"ММ.ГГГГ\г\.")," по ",TEXT(EOMONTH(Данные!G2,0),"ДД.ММ.ГГГГ\г\.")," Оператор оказал содействие Компании ТрансТелеКом в предоставлении Услуг связи Пользователям, перечисленным в нижеследующей таблице: ")</f>
        <v xml:space="preserve">1. В соответствии с Агентским договором за период с 01.09.2019г. по 30.09.2019г. Оператор оказал содействие Компании ТрансТелеКом в предоставлении Услуг связи Пользователям, перечисленным в нижеследующей таблице: </v>
      </c>
      <c r="B6" s="225"/>
      <c r="C6" s="225"/>
      <c r="D6" s="225"/>
      <c r="E6" s="225"/>
      <c r="F6" s="225"/>
      <c r="G6" s="225"/>
      <c r="H6" s="225"/>
      <c r="I6" s="225"/>
      <c r="J6" s="225"/>
      <c r="K6" s="225"/>
    </row>
    <row r="7" spans="1:12" ht="16.5" customHeight="1" x14ac:dyDescent="0.25">
      <c r="A7" s="75">
        <v>1</v>
      </c>
      <c r="B7" s="3">
        <v>2</v>
      </c>
      <c r="C7" s="3">
        <v>3</v>
      </c>
      <c r="D7" s="160">
        <v>4</v>
      </c>
      <c r="E7" s="160">
        <v>5</v>
      </c>
      <c r="F7" s="160">
        <v>6</v>
      </c>
      <c r="G7" s="160">
        <v>7</v>
      </c>
      <c r="H7" s="3">
        <v>8</v>
      </c>
      <c r="I7" s="160">
        <v>9</v>
      </c>
      <c r="J7" s="3">
        <v>10</v>
      </c>
      <c r="K7" s="4">
        <v>11</v>
      </c>
    </row>
    <row r="8" spans="1:12" ht="125.25" customHeight="1" thickBot="1" x14ac:dyDescent="0.3">
      <c r="A8" s="76" t="s">
        <v>0</v>
      </c>
      <c r="B8" s="77" t="s">
        <v>1</v>
      </c>
      <c r="C8" s="77" t="s">
        <v>2</v>
      </c>
      <c r="D8" s="161" t="s">
        <v>3</v>
      </c>
      <c r="E8" s="161" t="s">
        <v>4</v>
      </c>
      <c r="F8" s="179" t="s">
        <v>5</v>
      </c>
      <c r="G8" s="161" t="s">
        <v>6</v>
      </c>
      <c r="H8" s="77" t="s">
        <v>7</v>
      </c>
      <c r="I8" s="161" t="s">
        <v>8</v>
      </c>
      <c r="J8" s="77" t="s">
        <v>9</v>
      </c>
      <c r="K8" s="78" t="s">
        <v>10</v>
      </c>
    </row>
    <row r="9" spans="1:12" ht="22.5" x14ac:dyDescent="0.25">
      <c r="A9" s="67" t="str">
        <f>Данные!A2</f>
        <v>ООО «Инженерный центр «Осколлифтреммонтаж»</v>
      </c>
      <c r="B9" s="68" t="str">
        <f>CONCATENATE("№",Данные!B2," от ", TEXT(Данные!C2,"ДД.ММ.ГГГГ\г\."))</f>
        <v>№DA000287#0314-018Т от 17.03.2014г.</v>
      </c>
      <c r="C9" s="68" t="str">
        <f>CONCATENATE("№",Данные!F2," от ",TEXT(Данные!G2,"ДД.ММ.ГГГГ\г\."))</f>
        <v>№DA000287#TTK0000200 от 30.09.2019г.</v>
      </c>
      <c r="D9" s="162">
        <f>Данные!H2</f>
        <v>19.28</v>
      </c>
      <c r="E9" s="169" t="str">
        <f>IF(Данные!I2 = 2, "МГ", "МН")</f>
        <v>МГ</v>
      </c>
      <c r="F9" s="162">
        <f>Данные!J2</f>
        <v>19.28</v>
      </c>
      <c r="G9" s="162">
        <f>Данные!K2</f>
        <v>23.13</v>
      </c>
      <c r="H9" s="69">
        <f>Данные!L2</f>
        <v>18.059999999999999</v>
      </c>
      <c r="I9" s="162">
        <f>Данные!M2</f>
        <v>21.67</v>
      </c>
      <c r="J9" s="69">
        <f>Данные!N2</f>
        <v>1.22</v>
      </c>
      <c r="K9" s="70">
        <f>Данные!O2</f>
        <v>1.46</v>
      </c>
      <c r="L9" s="140"/>
    </row>
    <row r="10" spans="1:12" ht="22.5" x14ac:dyDescent="0.25">
      <c r="A10" s="67" t="str">
        <f>Данные!A3</f>
        <v>ООО «ВКМ»</v>
      </c>
      <c r="B10" s="68" t="str">
        <f>CONCATENATE("№",Данные!B3," от ", TEXT(Данные!C3,"ДД.ММ.ГГГГ\г\."))</f>
        <v>№DA000287#12_12-074 от 11.12.2012г.</v>
      </c>
      <c r="C10" s="68" t="str">
        <f>CONCATENATE("№",Данные!F3," от ",TEXT(Данные!G3,"ДД.ММ.ГГГГ\г\."))</f>
        <v>№DA000287#TTK0000201 от 30.09.2019г.</v>
      </c>
      <c r="D10" s="162">
        <f>Данные!H3</f>
        <v>722.43</v>
      </c>
      <c r="E10" s="169" t="str">
        <f>IF(Данные!I3 = 2, "МГ", "МН")</f>
        <v>МГ</v>
      </c>
      <c r="F10" s="162">
        <f>Данные!J3</f>
        <v>722.43</v>
      </c>
      <c r="G10" s="162">
        <f>Данные!K3</f>
        <v>866.91</v>
      </c>
      <c r="H10" s="69">
        <f>Данные!L3</f>
        <v>592.73</v>
      </c>
      <c r="I10" s="162">
        <f>Данные!M3</f>
        <v>711.28</v>
      </c>
      <c r="J10" s="69">
        <f>Данные!N3</f>
        <v>129.69999999999999</v>
      </c>
      <c r="K10" s="70">
        <f>Данные!O3</f>
        <v>155.63</v>
      </c>
      <c r="L10" s="140"/>
    </row>
    <row r="11" spans="1:12" x14ac:dyDescent="0.25">
      <c r="A11" s="67">
        <f>Данные!A4</f>
        <v>0</v>
      </c>
      <c r="B11" s="68" t="str">
        <f>CONCATENATE("№",Данные!B4," от ", TEXT(Данные!C4,"ДД.ММ.ГГГГ\г\."))</f>
        <v>№ от 00.01.1900г.</v>
      </c>
      <c r="C11" s="68" t="str">
        <f>CONCATENATE("№",Данные!F4," от ",TEXT(Данные!G4,"ДД.ММ.ГГГГ\г\."))</f>
        <v>№ от 00.01.1900г.</v>
      </c>
      <c r="D11" s="162">
        <f>Данные!H4</f>
        <v>0</v>
      </c>
      <c r="E11" s="169" t="str">
        <f>IF(Данные!I4 = 2, "МГ", "МН")</f>
        <v>МН</v>
      </c>
      <c r="F11" s="162">
        <f>Данные!J4</f>
        <v>0</v>
      </c>
      <c r="G11" s="162">
        <f>Данные!K4</f>
        <v>0</v>
      </c>
      <c r="H11" s="69">
        <f>Данные!L4</f>
        <v>0</v>
      </c>
      <c r="I11" s="162">
        <f>Данные!M4</f>
        <v>0</v>
      </c>
      <c r="J11" s="69">
        <f>Данные!N4</f>
        <v>0</v>
      </c>
      <c r="K11" s="70">
        <f>Данные!O4</f>
        <v>0</v>
      </c>
      <c r="L11" s="140"/>
    </row>
    <row r="12" spans="1:12" x14ac:dyDescent="0.25">
      <c r="A12" s="67">
        <f>Данные!A5</f>
        <v>0</v>
      </c>
      <c r="B12" s="68" t="str">
        <f>CONCATENATE("№",Данные!B5," от ", TEXT(Данные!C5,"ДД.ММ.ГГГГ\г\."))</f>
        <v>№ от 00.01.1900г.</v>
      </c>
      <c r="C12" s="68" t="str">
        <f>CONCATENATE("№",Данные!F5," от ",TEXT(Данные!G5,"ДД.ММ.ГГГГ\г\."))</f>
        <v>№ от 00.01.1900г.</v>
      </c>
      <c r="D12" s="162">
        <f>Данные!H5</f>
        <v>0</v>
      </c>
      <c r="E12" s="169" t="str">
        <f>IF(Данные!I5 = 2, "МГ", "МН")</f>
        <v>МН</v>
      </c>
      <c r="F12" s="162">
        <f>Данные!J5</f>
        <v>0</v>
      </c>
      <c r="G12" s="162">
        <f>Данные!K5</f>
        <v>0</v>
      </c>
      <c r="H12" s="69">
        <f>Данные!L5</f>
        <v>0</v>
      </c>
      <c r="I12" s="162">
        <f>Данные!M5</f>
        <v>0</v>
      </c>
      <c r="J12" s="69">
        <f>Данные!N5</f>
        <v>0</v>
      </c>
      <c r="K12" s="70">
        <f>Данные!O5</f>
        <v>0</v>
      </c>
      <c r="L12" s="140"/>
    </row>
    <row r="13" spans="1:12" x14ac:dyDescent="0.25">
      <c r="A13" s="67">
        <f>Данные!A6</f>
        <v>0</v>
      </c>
      <c r="B13" s="68" t="str">
        <f>CONCATENATE("№",Данные!B6," от ", TEXT(Данные!C6,"ДД.ММ.ГГГГ\г\."))</f>
        <v>№ от 00.01.1900г.</v>
      </c>
      <c r="C13" s="68" t="str">
        <f>CONCATENATE("№",Данные!F6," от ",TEXT(Данные!G6,"ДД.ММ.ГГГГ\г\."))</f>
        <v>№ от 00.01.1900г.</v>
      </c>
      <c r="D13" s="162">
        <f>Данные!H6</f>
        <v>0</v>
      </c>
      <c r="E13" s="169" t="str">
        <f>IF(Данные!I6 = 2, "МГ", "МН")</f>
        <v>МН</v>
      </c>
      <c r="F13" s="162">
        <f>Данные!J6</f>
        <v>0</v>
      </c>
      <c r="G13" s="162">
        <f>Данные!K6</f>
        <v>0</v>
      </c>
      <c r="H13" s="69">
        <f>Данные!L6</f>
        <v>0</v>
      </c>
      <c r="I13" s="162">
        <f>Данные!M6</f>
        <v>0</v>
      </c>
      <c r="J13" s="69">
        <f>Данные!N6</f>
        <v>0</v>
      </c>
      <c r="K13" s="70">
        <f>Данные!O6</f>
        <v>0</v>
      </c>
      <c r="L13" s="140"/>
    </row>
    <row r="14" spans="1:12" x14ac:dyDescent="0.25">
      <c r="A14" s="67">
        <f>Данные!A7</f>
        <v>0</v>
      </c>
      <c r="B14" s="68" t="str">
        <f>CONCATENATE("№",Данные!B7," от ", TEXT(Данные!C7,"ДД.ММ.ГГГГ\г\."))</f>
        <v>№ от 00.01.1900г.</v>
      </c>
      <c r="C14" s="68" t="str">
        <f>CONCATENATE("№",Данные!F7," от ",TEXT(Данные!G7,"ДД.ММ.ГГГГ\г\."))</f>
        <v>№ от 00.01.1900г.</v>
      </c>
      <c r="D14" s="162">
        <f>Данные!H7</f>
        <v>0</v>
      </c>
      <c r="E14" s="169" t="str">
        <f>IF(Данные!I7 = 2, "МГ", "МН")</f>
        <v>МН</v>
      </c>
      <c r="F14" s="162">
        <f>Данные!J7</f>
        <v>0</v>
      </c>
      <c r="G14" s="162">
        <f>Данные!K7</f>
        <v>0</v>
      </c>
      <c r="H14" s="69">
        <f>Данные!L7</f>
        <v>0</v>
      </c>
      <c r="I14" s="162">
        <f>Данные!M7</f>
        <v>0</v>
      </c>
      <c r="J14" s="69">
        <f>Данные!N7</f>
        <v>0</v>
      </c>
      <c r="K14" s="70">
        <f>Данные!O7</f>
        <v>0</v>
      </c>
      <c r="L14" s="140"/>
    </row>
    <row r="15" spans="1:12" x14ac:dyDescent="0.25">
      <c r="A15" s="67">
        <f>Данные!A8</f>
        <v>0</v>
      </c>
      <c r="B15" s="68" t="str">
        <f>CONCATENATE("№",Данные!B8," от ", TEXT(Данные!C8,"ДД.ММ.ГГГГ\г\."))</f>
        <v>№ от 00.01.1900г.</v>
      </c>
      <c r="C15" s="68" t="str">
        <f>CONCATENATE("№",Данные!F8," от ",TEXT(Данные!G8,"ДД.ММ.ГГГГ\г\."))</f>
        <v>№ от 00.01.1900г.</v>
      </c>
      <c r="D15" s="162">
        <f>Данные!H8</f>
        <v>0</v>
      </c>
      <c r="E15" s="169" t="str">
        <f>IF(Данные!I8 = 2, "МГ", "МН")</f>
        <v>МН</v>
      </c>
      <c r="F15" s="162">
        <f>Данные!J8</f>
        <v>0</v>
      </c>
      <c r="G15" s="162">
        <f>Данные!K8</f>
        <v>0</v>
      </c>
      <c r="H15" s="69">
        <f>Данные!L8</f>
        <v>0</v>
      </c>
      <c r="I15" s="162">
        <f>Данные!M8</f>
        <v>0</v>
      </c>
      <c r="J15" s="69">
        <f>Данные!N8</f>
        <v>0</v>
      </c>
      <c r="K15" s="70">
        <f>Данные!O8</f>
        <v>0</v>
      </c>
      <c r="L15" s="140"/>
    </row>
    <row r="16" spans="1:12" x14ac:dyDescent="0.25">
      <c r="A16" s="67">
        <f>Данные!A9</f>
        <v>0</v>
      </c>
      <c r="B16" s="68" t="str">
        <f>CONCATENATE("№",Данные!B9," от ", TEXT(Данные!C9,"ДД.ММ.ГГГГ\г\."))</f>
        <v>№ от 00.01.1900г.</v>
      </c>
      <c r="C16" s="68" t="str">
        <f>CONCATENATE("№",Данные!F9," от ",TEXT(Данные!G9,"ДД.ММ.ГГГГ\г\."))</f>
        <v>№ от 00.01.1900г.</v>
      </c>
      <c r="D16" s="162">
        <f>Данные!H9</f>
        <v>0</v>
      </c>
      <c r="E16" s="169" t="str">
        <f>IF(Данные!I9 = 2, "МГ", "МН")</f>
        <v>МН</v>
      </c>
      <c r="F16" s="162">
        <f>Данные!J9</f>
        <v>0</v>
      </c>
      <c r="G16" s="162">
        <f>Данные!K9</f>
        <v>0</v>
      </c>
      <c r="H16" s="69">
        <f>Данные!L9</f>
        <v>0</v>
      </c>
      <c r="I16" s="162">
        <f>Данные!M9</f>
        <v>0</v>
      </c>
      <c r="J16" s="69">
        <f>Данные!N9</f>
        <v>0</v>
      </c>
      <c r="K16" s="70">
        <f>Данные!O9</f>
        <v>0</v>
      </c>
      <c r="L16" s="140"/>
    </row>
    <row r="17" spans="1:12" x14ac:dyDescent="0.25">
      <c r="A17" s="67">
        <f>Данные!A10</f>
        <v>0</v>
      </c>
      <c r="B17" s="68" t="str">
        <f>CONCATENATE("№",Данные!B10," от ", TEXT(Данные!C10,"ДД.ММ.ГГГГ\г\."))</f>
        <v>№ от 00.01.1900г.</v>
      </c>
      <c r="C17" s="68" t="str">
        <f>CONCATENATE("№",Данные!F10," от ",TEXT(Данные!G10,"ДД.ММ.ГГГГ\г\."))</f>
        <v>№ от 00.01.1900г.</v>
      </c>
      <c r="D17" s="162">
        <f>Данные!H10</f>
        <v>0</v>
      </c>
      <c r="E17" s="169" t="str">
        <f>IF(Данные!I10 = 2, "МГ", "МН")</f>
        <v>МН</v>
      </c>
      <c r="F17" s="162">
        <f>Данные!J10</f>
        <v>0</v>
      </c>
      <c r="G17" s="162">
        <f>Данные!K10</f>
        <v>0</v>
      </c>
      <c r="H17" s="69">
        <f>Данные!L10</f>
        <v>0</v>
      </c>
      <c r="I17" s="162">
        <f>Данные!M10</f>
        <v>0</v>
      </c>
      <c r="J17" s="69">
        <f>Данные!N10</f>
        <v>0</v>
      </c>
      <c r="K17" s="70">
        <f>Данные!O10</f>
        <v>0</v>
      </c>
      <c r="L17" s="140"/>
    </row>
    <row r="18" spans="1:12" x14ac:dyDescent="0.25">
      <c r="A18" s="67">
        <f>Данные!A11</f>
        <v>0</v>
      </c>
      <c r="B18" s="68" t="str">
        <f>CONCATENATE("№",Данные!B11," от ", TEXT(Данные!C11,"ДД.ММ.ГГГГ\г\."))</f>
        <v>№ от 00.01.1900г.</v>
      </c>
      <c r="C18" s="68" t="str">
        <f>CONCATENATE("№",Данные!F11," от ",TEXT(Данные!G11,"ДД.ММ.ГГГГ\г\."))</f>
        <v>№ от 00.01.1900г.</v>
      </c>
      <c r="D18" s="162">
        <f>Данные!H11</f>
        <v>0</v>
      </c>
      <c r="E18" s="169" t="str">
        <f>IF(Данные!I11 = 2, "МГ", "МН")</f>
        <v>МН</v>
      </c>
      <c r="F18" s="162">
        <f>Данные!J11</f>
        <v>0</v>
      </c>
      <c r="G18" s="162">
        <f>Данные!K11</f>
        <v>0</v>
      </c>
      <c r="H18" s="69">
        <f>Данные!L11</f>
        <v>0</v>
      </c>
      <c r="I18" s="162">
        <f>Данные!M11</f>
        <v>0</v>
      </c>
      <c r="J18" s="69">
        <f>Данные!N11</f>
        <v>0</v>
      </c>
      <c r="K18" s="70">
        <f>Данные!O11</f>
        <v>0</v>
      </c>
      <c r="L18" s="140"/>
    </row>
    <row r="19" spans="1:12" x14ac:dyDescent="0.25">
      <c r="A19" s="67">
        <f>Данные!A12</f>
        <v>0</v>
      </c>
      <c r="B19" s="68" t="str">
        <f>CONCATENATE("№",Данные!B12," от ", TEXT(Данные!C12,"ДД.ММ.ГГГГ\г\."))</f>
        <v>№ от 00.01.1900г.</v>
      </c>
      <c r="C19" s="68" t="str">
        <f>CONCATENATE("№",Данные!F12," от ",TEXT(Данные!G12,"ДД.ММ.ГГГГ\г\."))</f>
        <v>№ от 00.01.1900г.</v>
      </c>
      <c r="D19" s="162">
        <f>Данные!H12</f>
        <v>0</v>
      </c>
      <c r="E19" s="169" t="str">
        <f>IF(Данные!I12 = 2, "МГ", "МН")</f>
        <v>МН</v>
      </c>
      <c r="F19" s="162">
        <f>Данные!J12</f>
        <v>0</v>
      </c>
      <c r="G19" s="162">
        <f>Данные!K12</f>
        <v>0</v>
      </c>
      <c r="H19" s="69">
        <f>Данные!L12</f>
        <v>0</v>
      </c>
      <c r="I19" s="162">
        <f>Данные!M12</f>
        <v>0</v>
      </c>
      <c r="J19" s="69">
        <f>Данные!N12</f>
        <v>0</v>
      </c>
      <c r="K19" s="70">
        <f>Данные!O12</f>
        <v>0</v>
      </c>
      <c r="L19" s="140"/>
    </row>
    <row r="20" spans="1:12" x14ac:dyDescent="0.25">
      <c r="A20" s="67">
        <f>Данные!A13</f>
        <v>0</v>
      </c>
      <c r="B20" s="68" t="str">
        <f>CONCATENATE("№",Данные!B13," от ", TEXT(Данные!C13,"ДД.ММ.ГГГГ\г\."))</f>
        <v>№ от 00.01.1900г.</v>
      </c>
      <c r="C20" s="68" t="str">
        <f>CONCATENATE("№",Данные!F13," от ",TEXT(Данные!G13,"ДД.ММ.ГГГГ\г\."))</f>
        <v>№ от 00.01.1900г.</v>
      </c>
      <c r="D20" s="162">
        <f>Данные!H13</f>
        <v>0</v>
      </c>
      <c r="E20" s="169" t="str">
        <f>IF(Данные!I13 = 2, "МГ", "МН")</f>
        <v>МН</v>
      </c>
      <c r="F20" s="162">
        <f>Данные!J13</f>
        <v>0</v>
      </c>
      <c r="G20" s="162">
        <f>Данные!K13</f>
        <v>0</v>
      </c>
      <c r="H20" s="69">
        <f>Данные!L13</f>
        <v>0</v>
      </c>
      <c r="I20" s="162">
        <f>Данные!M13</f>
        <v>0</v>
      </c>
      <c r="J20" s="69">
        <f>Данные!N13</f>
        <v>0</v>
      </c>
      <c r="K20" s="70">
        <f>Данные!O13</f>
        <v>0</v>
      </c>
      <c r="L20" s="140"/>
    </row>
    <row r="21" spans="1:12" x14ac:dyDescent="0.25">
      <c r="A21" s="67">
        <f>Данные!A14</f>
        <v>0</v>
      </c>
      <c r="B21" s="68" t="str">
        <f>CONCATENATE("№",Данные!B14," от ", TEXT(Данные!C14,"ДД.ММ.ГГГГ\г\."))</f>
        <v>№ от 00.01.1900г.</v>
      </c>
      <c r="C21" s="68" t="str">
        <f>CONCATENATE("№",Данные!F14," от ",TEXT(Данные!G14,"ДД.ММ.ГГГГ\г\."))</f>
        <v>№ от 00.01.1900г.</v>
      </c>
      <c r="D21" s="162">
        <f>Данные!H14</f>
        <v>0</v>
      </c>
      <c r="E21" s="169" t="str">
        <f>IF(Данные!I14 = 2, "МГ", "МН")</f>
        <v>МН</v>
      </c>
      <c r="F21" s="162">
        <f>Данные!J14</f>
        <v>0</v>
      </c>
      <c r="G21" s="162">
        <f>Данные!K14</f>
        <v>0</v>
      </c>
      <c r="H21" s="69">
        <f>Данные!L14</f>
        <v>0</v>
      </c>
      <c r="I21" s="162">
        <f>Данные!M14</f>
        <v>0</v>
      </c>
      <c r="J21" s="69">
        <f>Данные!N14</f>
        <v>0</v>
      </c>
      <c r="K21" s="70">
        <f>Данные!O14</f>
        <v>0</v>
      </c>
      <c r="L21" s="140"/>
    </row>
    <row r="22" spans="1:12" x14ac:dyDescent="0.25">
      <c r="A22" s="67">
        <f>Данные!A15</f>
        <v>0</v>
      </c>
      <c r="B22" s="68" t="str">
        <f>CONCATENATE("№",Данные!B15," от ", TEXT(Данные!C15,"ДД.ММ.ГГГГ\г\."))</f>
        <v>№ от 00.01.1900г.</v>
      </c>
      <c r="C22" s="68" t="str">
        <f>CONCATENATE("№",Данные!F15," от ",TEXT(Данные!G15,"ДД.ММ.ГГГГ\г\."))</f>
        <v>№ от 00.01.1900г.</v>
      </c>
      <c r="D22" s="162">
        <f>Данные!H15</f>
        <v>0</v>
      </c>
      <c r="E22" s="169" t="str">
        <f>IF(Данные!I15 = 2, "МГ", "МН")</f>
        <v>МН</v>
      </c>
      <c r="F22" s="162">
        <f>Данные!J15</f>
        <v>0</v>
      </c>
      <c r="G22" s="162">
        <f>Данные!K15</f>
        <v>0</v>
      </c>
      <c r="H22" s="69">
        <f>Данные!L15</f>
        <v>0</v>
      </c>
      <c r="I22" s="162">
        <f>Данные!M15</f>
        <v>0</v>
      </c>
      <c r="J22" s="69">
        <f>Данные!N15</f>
        <v>0</v>
      </c>
      <c r="K22" s="70">
        <f>Данные!O15</f>
        <v>0</v>
      </c>
      <c r="L22" s="140"/>
    </row>
    <row r="23" spans="1:12" x14ac:dyDescent="0.25">
      <c r="A23" s="67">
        <f>Данные!A16</f>
        <v>0</v>
      </c>
      <c r="B23" s="68" t="str">
        <f>CONCATENATE("№",Данные!B16," от ", TEXT(Данные!C16,"ДД.ММ.ГГГГ\г\."))</f>
        <v>№ от 00.01.1900г.</v>
      </c>
      <c r="C23" s="68" t="str">
        <f>CONCATENATE("№",Данные!F16," от ",TEXT(Данные!G16,"ДД.ММ.ГГГГ\г\."))</f>
        <v>№ от 00.01.1900г.</v>
      </c>
      <c r="D23" s="162">
        <f>Данные!H16</f>
        <v>0</v>
      </c>
      <c r="E23" s="169" t="str">
        <f>IF(Данные!I16 = 2, "МГ", "МН")</f>
        <v>МН</v>
      </c>
      <c r="F23" s="162">
        <f>Данные!J16</f>
        <v>0</v>
      </c>
      <c r="G23" s="162">
        <f>Данные!K16</f>
        <v>0</v>
      </c>
      <c r="H23" s="69">
        <f>Данные!L16</f>
        <v>0</v>
      </c>
      <c r="I23" s="162">
        <f>Данные!M16</f>
        <v>0</v>
      </c>
      <c r="J23" s="69">
        <f>Данные!N16</f>
        <v>0</v>
      </c>
      <c r="K23" s="70">
        <f>Данные!O16</f>
        <v>0</v>
      </c>
      <c r="L23" s="140"/>
    </row>
    <row r="24" spans="1:12" x14ac:dyDescent="0.25">
      <c r="A24" s="67">
        <f>Данные!A17</f>
        <v>0</v>
      </c>
      <c r="B24" s="68" t="str">
        <f>CONCATENATE("№",Данные!B17," от ", TEXT(Данные!C17,"ДД.ММ.ГГГГ\г\."))</f>
        <v>№ от 00.01.1900г.</v>
      </c>
      <c r="C24" s="68" t="str">
        <f>CONCATENATE("№",Данные!F17," от ",TEXT(Данные!G17,"ДД.ММ.ГГГГ\г\."))</f>
        <v>№ от 00.01.1900г.</v>
      </c>
      <c r="D24" s="162">
        <f>Данные!H17</f>
        <v>0</v>
      </c>
      <c r="E24" s="169" t="str">
        <f>IF(Данные!I17 = 2, "МГ", "МН")</f>
        <v>МН</v>
      </c>
      <c r="F24" s="162">
        <f>Данные!J17</f>
        <v>0</v>
      </c>
      <c r="G24" s="162">
        <f>Данные!K17</f>
        <v>0</v>
      </c>
      <c r="H24" s="69">
        <f>Данные!L17</f>
        <v>0</v>
      </c>
      <c r="I24" s="162">
        <f>Данные!M17</f>
        <v>0</v>
      </c>
      <c r="J24" s="69">
        <f>Данные!N17</f>
        <v>0</v>
      </c>
      <c r="K24" s="70">
        <f>Данные!O17</f>
        <v>0</v>
      </c>
      <c r="L24" s="140"/>
    </row>
    <row r="25" spans="1:12" x14ac:dyDescent="0.25">
      <c r="A25" s="67">
        <f>Данные!A18</f>
        <v>0</v>
      </c>
      <c r="B25" s="68" t="str">
        <f>CONCATENATE("№",Данные!B18," от ", TEXT(Данные!C18,"ДД.ММ.ГГГГ\г\."))</f>
        <v>№ от 00.01.1900г.</v>
      </c>
      <c r="C25" s="68" t="str">
        <f>CONCATENATE("№",Данные!F18," от ",TEXT(Данные!G18,"ДД.ММ.ГГГГ\г\."))</f>
        <v>№ от 00.01.1900г.</v>
      </c>
      <c r="D25" s="162">
        <f>Данные!H18</f>
        <v>0</v>
      </c>
      <c r="E25" s="169" t="str">
        <f>IF(Данные!I18 = 2, "МГ", "МН")</f>
        <v>МН</v>
      </c>
      <c r="F25" s="162">
        <f>Данные!J18</f>
        <v>0</v>
      </c>
      <c r="G25" s="162">
        <f>Данные!K18</f>
        <v>0</v>
      </c>
      <c r="H25" s="69">
        <f>Данные!L18</f>
        <v>0</v>
      </c>
      <c r="I25" s="162">
        <f>Данные!M18</f>
        <v>0</v>
      </c>
      <c r="J25" s="69">
        <f>Данные!N18</f>
        <v>0</v>
      </c>
      <c r="K25" s="70">
        <f>Данные!O18</f>
        <v>0</v>
      </c>
      <c r="L25" s="140"/>
    </row>
    <row r="26" spans="1:12" x14ac:dyDescent="0.25">
      <c r="A26" s="67">
        <f>Данные!A19</f>
        <v>0</v>
      </c>
      <c r="B26" s="68" t="str">
        <f>CONCATENATE("№",Данные!B19," от ", TEXT(Данные!C19,"ДД.ММ.ГГГГ\г\."))</f>
        <v>№ от 00.01.1900г.</v>
      </c>
      <c r="C26" s="68" t="str">
        <f>CONCATENATE("№",Данные!F19," от ",TEXT(Данные!G19,"ДД.ММ.ГГГГ\г\."))</f>
        <v>№ от 00.01.1900г.</v>
      </c>
      <c r="D26" s="162">
        <f>Данные!H19</f>
        <v>0</v>
      </c>
      <c r="E26" s="169" t="str">
        <f>IF(Данные!I19 = 2, "МГ", "МН")</f>
        <v>МН</v>
      </c>
      <c r="F26" s="162">
        <f>Данные!J19</f>
        <v>0</v>
      </c>
      <c r="G26" s="162">
        <f>Данные!K19</f>
        <v>0</v>
      </c>
      <c r="H26" s="69">
        <f>Данные!L19</f>
        <v>0</v>
      </c>
      <c r="I26" s="162">
        <f>Данные!M19</f>
        <v>0</v>
      </c>
      <c r="J26" s="69">
        <f>Данные!N19</f>
        <v>0</v>
      </c>
      <c r="K26" s="70">
        <f>Данные!O19</f>
        <v>0</v>
      </c>
      <c r="L26" s="140"/>
    </row>
    <row r="27" spans="1:12" x14ac:dyDescent="0.25">
      <c r="A27" s="67">
        <f>Данные!A20</f>
        <v>0</v>
      </c>
      <c r="B27" s="68" t="str">
        <f>CONCATENATE("№",Данные!B20," от ", TEXT(Данные!C20,"ДД.ММ.ГГГГ\г\."))</f>
        <v>№ от 00.01.1900г.</v>
      </c>
      <c r="C27" s="68" t="str">
        <f>CONCATENATE("№",Данные!F20," от ",TEXT(Данные!G20,"ДД.ММ.ГГГГ\г\."))</f>
        <v>№ от 00.01.1900г.</v>
      </c>
      <c r="D27" s="162">
        <f>Данные!H20</f>
        <v>0</v>
      </c>
      <c r="E27" s="169" t="str">
        <f>IF(Данные!I20 = 2, "МГ", "МН")</f>
        <v>МН</v>
      </c>
      <c r="F27" s="162">
        <f>Данные!J20</f>
        <v>0</v>
      </c>
      <c r="G27" s="162">
        <f>Данные!K20</f>
        <v>0</v>
      </c>
      <c r="H27" s="69">
        <f>Данные!L20</f>
        <v>0</v>
      </c>
      <c r="I27" s="162">
        <f>Данные!M20</f>
        <v>0</v>
      </c>
      <c r="J27" s="69">
        <f>Данные!N20</f>
        <v>0</v>
      </c>
      <c r="K27" s="70">
        <f>Данные!O20</f>
        <v>0</v>
      </c>
      <c r="L27" s="140"/>
    </row>
    <row r="28" spans="1:12" x14ac:dyDescent="0.25">
      <c r="A28" s="67">
        <f>Данные!A21</f>
        <v>0</v>
      </c>
      <c r="B28" s="68" t="str">
        <f>CONCATENATE("№",Данные!B21," от ", TEXT(Данные!C21,"ДД.ММ.ГГГГ\г\."))</f>
        <v>№ от 00.01.1900г.</v>
      </c>
      <c r="C28" s="68" t="str">
        <f>CONCATENATE("№",Данные!F21," от ",TEXT(Данные!G21,"ДД.ММ.ГГГГ\г\."))</f>
        <v>№ от 00.01.1900г.</v>
      </c>
      <c r="D28" s="162">
        <f>Данные!H21</f>
        <v>0</v>
      </c>
      <c r="E28" s="169" t="str">
        <f>IF(Данные!I21 = 2, "МГ", "МН")</f>
        <v>МН</v>
      </c>
      <c r="F28" s="162">
        <f>Данные!J21</f>
        <v>0</v>
      </c>
      <c r="G28" s="162">
        <f>Данные!K21</f>
        <v>0</v>
      </c>
      <c r="H28" s="69">
        <f>Данные!L21</f>
        <v>0</v>
      </c>
      <c r="I28" s="162">
        <f>Данные!M21</f>
        <v>0</v>
      </c>
      <c r="J28" s="69">
        <f>Данные!N21</f>
        <v>0</v>
      </c>
      <c r="K28" s="70">
        <f>Данные!O21</f>
        <v>0</v>
      </c>
      <c r="L28" s="140"/>
    </row>
    <row r="29" spans="1:12" x14ac:dyDescent="0.25">
      <c r="A29" s="67">
        <f>Данные!A22</f>
        <v>0</v>
      </c>
      <c r="B29" s="68" t="str">
        <f>CONCATENATE("№",Данные!B22," от ", TEXT(Данные!C22,"ДД.ММ.ГГГГ\г\."))</f>
        <v>№ от 00.01.1900г.</v>
      </c>
      <c r="C29" s="68" t="str">
        <f>CONCATENATE("№",Данные!F22," от ",TEXT(Данные!G22,"ДД.ММ.ГГГГ\г\."))</f>
        <v>№ от 00.01.1900г.</v>
      </c>
      <c r="D29" s="162">
        <f>Данные!H22</f>
        <v>0</v>
      </c>
      <c r="E29" s="169" t="str">
        <f>IF(Данные!I22 = 2, "МГ", "МН")</f>
        <v>МН</v>
      </c>
      <c r="F29" s="162">
        <f>Данные!J22</f>
        <v>0</v>
      </c>
      <c r="G29" s="162">
        <f>Данные!K22</f>
        <v>0</v>
      </c>
      <c r="H29" s="69">
        <f>Данные!L22</f>
        <v>0</v>
      </c>
      <c r="I29" s="162">
        <f>Данные!M22</f>
        <v>0</v>
      </c>
      <c r="J29" s="69">
        <f>Данные!N22</f>
        <v>0</v>
      </c>
      <c r="K29" s="70">
        <f>Данные!O22</f>
        <v>0</v>
      </c>
      <c r="L29" s="140"/>
    </row>
    <row r="30" spans="1:12" x14ac:dyDescent="0.25">
      <c r="A30" s="67">
        <f>Данные!A23</f>
        <v>0</v>
      </c>
      <c r="B30" s="68" t="str">
        <f>CONCATENATE("№",Данные!B23," от ", TEXT(Данные!C23,"ДД.ММ.ГГГГ\г\."))</f>
        <v>№ от 00.01.1900г.</v>
      </c>
      <c r="C30" s="68" t="str">
        <f>CONCATENATE("№",Данные!F23," от ",TEXT(Данные!G23,"ДД.ММ.ГГГГ\г\."))</f>
        <v>№ от 00.01.1900г.</v>
      </c>
      <c r="D30" s="162">
        <f>Данные!H23</f>
        <v>0</v>
      </c>
      <c r="E30" s="169" t="str">
        <f>IF(Данные!I23 = 2, "МГ", "МН")</f>
        <v>МН</v>
      </c>
      <c r="F30" s="162">
        <f>Данные!J23</f>
        <v>0</v>
      </c>
      <c r="G30" s="162">
        <f>Данные!K23</f>
        <v>0</v>
      </c>
      <c r="H30" s="69">
        <f>Данные!L23</f>
        <v>0</v>
      </c>
      <c r="I30" s="162">
        <f>Данные!M23</f>
        <v>0</v>
      </c>
      <c r="J30" s="69">
        <f>Данные!N23</f>
        <v>0</v>
      </c>
      <c r="K30" s="70">
        <f>Данные!O23</f>
        <v>0</v>
      </c>
      <c r="L30" s="140"/>
    </row>
    <row r="31" spans="1:12" x14ac:dyDescent="0.25">
      <c r="A31" s="67">
        <f>Данные!A24</f>
        <v>0</v>
      </c>
      <c r="B31" s="68" t="str">
        <f>CONCATENATE("№",Данные!B24," от ", TEXT(Данные!C24,"ДД.ММ.ГГГГ\г\."))</f>
        <v>№ от 00.01.1900г.</v>
      </c>
      <c r="C31" s="68" t="str">
        <f>CONCATENATE("№",Данные!F24," от ",TEXT(Данные!G24,"ДД.ММ.ГГГГ\г\."))</f>
        <v>№ от 00.01.1900г.</v>
      </c>
      <c r="D31" s="162">
        <f>Данные!H24</f>
        <v>0</v>
      </c>
      <c r="E31" s="169" t="str">
        <f>IF(Данные!I24 = 2, "МГ", "МН")</f>
        <v>МН</v>
      </c>
      <c r="F31" s="162">
        <f>Данные!J24</f>
        <v>0</v>
      </c>
      <c r="G31" s="162">
        <f>Данные!K24</f>
        <v>0</v>
      </c>
      <c r="H31" s="69">
        <f>Данные!L24</f>
        <v>0</v>
      </c>
      <c r="I31" s="162">
        <f>Данные!M24</f>
        <v>0</v>
      </c>
      <c r="J31" s="69">
        <f>Данные!N24</f>
        <v>0</v>
      </c>
      <c r="K31" s="70">
        <f>Данные!O24</f>
        <v>0</v>
      </c>
      <c r="L31" s="140"/>
    </row>
    <row r="32" spans="1:12" x14ac:dyDescent="0.25">
      <c r="A32" s="67">
        <f>Данные!A25</f>
        <v>0</v>
      </c>
      <c r="B32" s="68" t="str">
        <f>CONCATENATE("№",Данные!B25," от ", TEXT(Данные!C25,"ДД.ММ.ГГГГ\г\."))</f>
        <v>№ от 00.01.1900г.</v>
      </c>
      <c r="C32" s="68" t="str">
        <f>CONCATENATE("№",Данные!F25," от ",TEXT(Данные!G25,"ДД.ММ.ГГГГ\г\."))</f>
        <v>№ от 00.01.1900г.</v>
      </c>
      <c r="D32" s="162">
        <f>Данные!H25</f>
        <v>0</v>
      </c>
      <c r="E32" s="169" t="str">
        <f>IF(Данные!I25 = 2, "МГ", "МН")</f>
        <v>МН</v>
      </c>
      <c r="F32" s="162">
        <f>Данные!J25</f>
        <v>0</v>
      </c>
      <c r="G32" s="162">
        <f>Данные!K25</f>
        <v>0</v>
      </c>
      <c r="H32" s="69">
        <f>Данные!L25</f>
        <v>0</v>
      </c>
      <c r="I32" s="162">
        <f>Данные!M25</f>
        <v>0</v>
      </c>
      <c r="J32" s="69">
        <f>Данные!N25</f>
        <v>0</v>
      </c>
      <c r="K32" s="70">
        <f>Данные!O25</f>
        <v>0</v>
      </c>
      <c r="L32" s="140"/>
    </row>
    <row r="33" spans="1:12" x14ac:dyDescent="0.25">
      <c r="A33" s="67">
        <f>Данные!A26</f>
        <v>0</v>
      </c>
      <c r="B33" s="68" t="str">
        <f>CONCATENATE("№",Данные!B26," от ", TEXT(Данные!C26,"ДД.ММ.ГГГГ\г\."))</f>
        <v>№ от 00.01.1900г.</v>
      </c>
      <c r="C33" s="68" t="str">
        <f>CONCATENATE("№",Данные!F26," от ",TEXT(Данные!G26,"ДД.ММ.ГГГГ\г\."))</f>
        <v>№ от 00.01.1900г.</v>
      </c>
      <c r="D33" s="162">
        <f>Данные!H26</f>
        <v>0</v>
      </c>
      <c r="E33" s="169" t="str">
        <f>IF(Данные!I26 = 2, "МГ", "МН")</f>
        <v>МН</v>
      </c>
      <c r="F33" s="162">
        <f>Данные!J26</f>
        <v>0</v>
      </c>
      <c r="G33" s="162">
        <f>Данные!K26</f>
        <v>0</v>
      </c>
      <c r="H33" s="69">
        <f>Данные!L26</f>
        <v>0</v>
      </c>
      <c r="I33" s="162">
        <f>Данные!M26</f>
        <v>0</v>
      </c>
      <c r="J33" s="69">
        <f>Данные!N26</f>
        <v>0</v>
      </c>
      <c r="K33" s="70">
        <f>Данные!O26</f>
        <v>0</v>
      </c>
      <c r="L33" s="140"/>
    </row>
    <row r="34" spans="1:12" x14ac:dyDescent="0.25">
      <c r="A34" s="67">
        <f>Данные!A27</f>
        <v>0</v>
      </c>
      <c r="B34" s="68" t="str">
        <f>CONCATENATE("№",Данные!B27," от ", TEXT(Данные!C27,"ДД.ММ.ГГГГ\г\."))</f>
        <v>№ от 00.01.1900г.</v>
      </c>
      <c r="C34" s="68" t="str">
        <f>CONCATENATE("№",Данные!F27," от ",TEXT(Данные!G27,"ДД.ММ.ГГГГ\г\."))</f>
        <v>№ от 00.01.1900г.</v>
      </c>
      <c r="D34" s="162">
        <f>Данные!H27</f>
        <v>0</v>
      </c>
      <c r="E34" s="169" t="str">
        <f>IF(Данные!I27 = 2, "МГ", "МН")</f>
        <v>МН</v>
      </c>
      <c r="F34" s="162">
        <f>Данные!J27</f>
        <v>0</v>
      </c>
      <c r="G34" s="162">
        <f>Данные!K27</f>
        <v>0</v>
      </c>
      <c r="H34" s="69">
        <f>Данные!L27</f>
        <v>0</v>
      </c>
      <c r="I34" s="162">
        <f>Данные!M27</f>
        <v>0</v>
      </c>
      <c r="J34" s="69">
        <f>Данные!N27</f>
        <v>0</v>
      </c>
      <c r="K34" s="70">
        <f>Данные!O27</f>
        <v>0</v>
      </c>
      <c r="L34" s="140"/>
    </row>
    <row r="35" spans="1:12" x14ac:dyDescent="0.25">
      <c r="A35" s="67">
        <f>Данные!A28</f>
        <v>0</v>
      </c>
      <c r="B35" s="68" t="str">
        <f>CONCATENATE("№",Данные!B28," от ", TEXT(Данные!C28,"ДД.ММ.ГГГГ\г\."))</f>
        <v>№ от 00.01.1900г.</v>
      </c>
      <c r="C35" s="68" t="str">
        <f>CONCATENATE("№",Данные!F28," от ",TEXT(Данные!G28,"ДД.ММ.ГГГГ\г\."))</f>
        <v>№ от 00.01.1900г.</v>
      </c>
      <c r="D35" s="162">
        <f>Данные!H28</f>
        <v>0</v>
      </c>
      <c r="E35" s="169" t="str">
        <f>IF(Данные!I28 = 2, "МГ", "МН")</f>
        <v>МН</v>
      </c>
      <c r="F35" s="162">
        <f>Данные!J28</f>
        <v>0</v>
      </c>
      <c r="G35" s="162">
        <f>Данные!K28</f>
        <v>0</v>
      </c>
      <c r="H35" s="69">
        <f>Данные!L28</f>
        <v>0</v>
      </c>
      <c r="I35" s="162">
        <f>Данные!M28</f>
        <v>0</v>
      </c>
      <c r="J35" s="69">
        <f>Данные!N28</f>
        <v>0</v>
      </c>
      <c r="K35" s="70">
        <f>Данные!O28</f>
        <v>0</v>
      </c>
      <c r="L35" s="140"/>
    </row>
    <row r="36" spans="1:12" x14ac:dyDescent="0.25">
      <c r="A36" s="67">
        <f>Данные!A29</f>
        <v>0</v>
      </c>
      <c r="B36" s="68" t="str">
        <f>CONCATENATE("№",Данные!B29," от ", TEXT(Данные!C29,"ДД.ММ.ГГГГ\г\."))</f>
        <v>№ от 00.01.1900г.</v>
      </c>
      <c r="C36" s="68" t="str">
        <f>CONCATENATE("№",Данные!F29," от ",TEXT(Данные!G29,"ДД.ММ.ГГГГ\г\."))</f>
        <v>№ от 00.01.1900г.</v>
      </c>
      <c r="D36" s="162">
        <f>Данные!H29</f>
        <v>0</v>
      </c>
      <c r="E36" s="169" t="str">
        <f>IF(Данные!I29 = 2, "МГ", "МН")</f>
        <v>МН</v>
      </c>
      <c r="F36" s="162">
        <f>Данные!J29</f>
        <v>0</v>
      </c>
      <c r="G36" s="162">
        <f>Данные!K29</f>
        <v>0</v>
      </c>
      <c r="H36" s="69">
        <f>Данные!L29</f>
        <v>0</v>
      </c>
      <c r="I36" s="162">
        <f>Данные!M29</f>
        <v>0</v>
      </c>
      <c r="J36" s="69">
        <f>Данные!N29</f>
        <v>0</v>
      </c>
      <c r="K36" s="70">
        <f>Данные!O29</f>
        <v>0</v>
      </c>
      <c r="L36" s="140"/>
    </row>
    <row r="37" spans="1:12" x14ac:dyDescent="0.25">
      <c r="A37" s="67">
        <f>Данные!A30</f>
        <v>0</v>
      </c>
      <c r="B37" s="68" t="str">
        <f>CONCATENATE("№",Данные!B30," от ", TEXT(Данные!C30,"ДД.ММ.ГГГГ\г\."))</f>
        <v>№ от 00.01.1900г.</v>
      </c>
      <c r="C37" s="68" t="str">
        <f>CONCATENATE("№",Данные!F30," от ",TEXT(Данные!G30,"ДД.ММ.ГГГГ\г\."))</f>
        <v>№ от 00.01.1900г.</v>
      </c>
      <c r="D37" s="162">
        <f>Данные!H30</f>
        <v>0</v>
      </c>
      <c r="E37" s="169" t="str">
        <f>IF(Данные!I30 = 2, "МГ", "МН")</f>
        <v>МН</v>
      </c>
      <c r="F37" s="162">
        <f>Данные!J30</f>
        <v>0</v>
      </c>
      <c r="G37" s="162">
        <f>Данные!K30</f>
        <v>0</v>
      </c>
      <c r="H37" s="69">
        <f>Данные!L30</f>
        <v>0</v>
      </c>
      <c r="I37" s="162">
        <f>Данные!M30</f>
        <v>0</v>
      </c>
      <c r="J37" s="69">
        <f>Данные!N30</f>
        <v>0</v>
      </c>
      <c r="K37" s="70">
        <f>Данные!O30</f>
        <v>0</v>
      </c>
      <c r="L37" s="140"/>
    </row>
    <row r="38" spans="1:12" x14ac:dyDescent="0.25">
      <c r="A38" s="67">
        <f>Данные!A31</f>
        <v>0</v>
      </c>
      <c r="B38" s="68" t="str">
        <f>CONCATENATE("№",Данные!B31," от ", TEXT(Данные!C31,"ДД.ММ.ГГГГ\г\."))</f>
        <v>№ от 00.01.1900г.</v>
      </c>
      <c r="C38" s="68" t="str">
        <f>CONCATENATE("№",Данные!F31," от ",TEXT(Данные!G31,"ДД.ММ.ГГГГ\г\."))</f>
        <v>№ от 00.01.1900г.</v>
      </c>
      <c r="D38" s="162">
        <f>Данные!H31</f>
        <v>0</v>
      </c>
      <c r="E38" s="169" t="str">
        <f>IF(Данные!I31 = 2, "МГ", "МН")</f>
        <v>МН</v>
      </c>
      <c r="F38" s="162">
        <f>Данные!J31</f>
        <v>0</v>
      </c>
      <c r="G38" s="162">
        <f>Данные!K31</f>
        <v>0</v>
      </c>
      <c r="H38" s="69">
        <f>Данные!L31</f>
        <v>0</v>
      </c>
      <c r="I38" s="162">
        <f>Данные!M31</f>
        <v>0</v>
      </c>
      <c r="J38" s="69">
        <f>Данные!N31</f>
        <v>0</v>
      </c>
      <c r="K38" s="70">
        <f>Данные!O31</f>
        <v>0</v>
      </c>
      <c r="L38" s="140"/>
    </row>
    <row r="39" spans="1:12" x14ac:dyDescent="0.25">
      <c r="A39" s="67">
        <f>Данные!A32</f>
        <v>0</v>
      </c>
      <c r="B39" s="68" t="str">
        <f>CONCATENATE("№",Данные!B32," от ", TEXT(Данные!C32,"ДД.ММ.ГГГГ\г\."))</f>
        <v>№ от 00.01.1900г.</v>
      </c>
      <c r="C39" s="68" t="str">
        <f>CONCATENATE("№",Данные!F32," от ",TEXT(Данные!G32,"ДД.ММ.ГГГГ\г\."))</f>
        <v>№ от 00.01.1900г.</v>
      </c>
      <c r="D39" s="162">
        <f>Данные!H32</f>
        <v>0</v>
      </c>
      <c r="E39" s="169" t="str">
        <f>IF(Данные!I32 = 2, "МГ", "МН")</f>
        <v>МН</v>
      </c>
      <c r="F39" s="162">
        <f>Данные!J32</f>
        <v>0</v>
      </c>
      <c r="G39" s="162">
        <f>Данные!K32</f>
        <v>0</v>
      </c>
      <c r="H39" s="69">
        <f>Данные!L32</f>
        <v>0</v>
      </c>
      <c r="I39" s="162">
        <f>Данные!M32</f>
        <v>0</v>
      </c>
      <c r="J39" s="69">
        <f>Данные!N32</f>
        <v>0</v>
      </c>
      <c r="K39" s="70">
        <f>Данные!O32</f>
        <v>0</v>
      </c>
      <c r="L39" s="140"/>
    </row>
    <row r="40" spans="1:12" x14ac:dyDescent="0.25">
      <c r="A40" s="67">
        <f>Данные!A33</f>
        <v>0</v>
      </c>
      <c r="B40" s="68" t="str">
        <f>CONCATENATE("№",Данные!B33," от ", TEXT(Данные!C33,"ДД.ММ.ГГГГ\г\."))</f>
        <v>№ от 00.01.1900г.</v>
      </c>
      <c r="C40" s="68" t="str">
        <f>CONCATENATE("№",Данные!F33," от ",TEXT(Данные!G33,"ДД.ММ.ГГГГ\г\."))</f>
        <v>№ от 00.01.1900г.</v>
      </c>
      <c r="D40" s="162">
        <f>Данные!H33</f>
        <v>0</v>
      </c>
      <c r="E40" s="169" t="str">
        <f>IF(Данные!I33 = 2, "МГ", "МН")</f>
        <v>МН</v>
      </c>
      <c r="F40" s="162">
        <f>Данные!J33</f>
        <v>0</v>
      </c>
      <c r="G40" s="162">
        <f>Данные!K33</f>
        <v>0</v>
      </c>
      <c r="H40" s="69">
        <f>Данные!L33</f>
        <v>0</v>
      </c>
      <c r="I40" s="162">
        <f>Данные!M33</f>
        <v>0</v>
      </c>
      <c r="J40" s="69">
        <f>Данные!N33</f>
        <v>0</v>
      </c>
      <c r="K40" s="70">
        <f>Данные!O33</f>
        <v>0</v>
      </c>
      <c r="L40" s="140"/>
    </row>
    <row r="41" spans="1:12" x14ac:dyDescent="0.25">
      <c r="A41" s="67">
        <f>Данные!A34</f>
        <v>0</v>
      </c>
      <c r="B41" s="68" t="str">
        <f>CONCATENATE("№",Данные!B34," от ", TEXT(Данные!C34,"ДД.ММ.ГГГГ\г\."))</f>
        <v>№ от 00.01.1900г.</v>
      </c>
      <c r="C41" s="68" t="str">
        <f>CONCATENATE("№",Данные!F34," от ",TEXT(Данные!G34,"ДД.ММ.ГГГГ\г\."))</f>
        <v>№ от 00.01.1900г.</v>
      </c>
      <c r="D41" s="162">
        <f>Данные!H34</f>
        <v>0</v>
      </c>
      <c r="E41" s="169" t="str">
        <f>IF(Данные!I34 = 2, "МГ", "МН")</f>
        <v>МН</v>
      </c>
      <c r="F41" s="162">
        <f>Данные!J34</f>
        <v>0</v>
      </c>
      <c r="G41" s="162">
        <f>Данные!K34</f>
        <v>0</v>
      </c>
      <c r="H41" s="69">
        <f>Данные!L34</f>
        <v>0</v>
      </c>
      <c r="I41" s="162">
        <f>Данные!M34</f>
        <v>0</v>
      </c>
      <c r="J41" s="69">
        <f>Данные!N34</f>
        <v>0</v>
      </c>
      <c r="K41" s="70">
        <f>Данные!O34</f>
        <v>0</v>
      </c>
      <c r="L41" s="140"/>
    </row>
    <row r="42" spans="1:12" x14ac:dyDescent="0.25">
      <c r="A42" s="67">
        <f>Данные!A35</f>
        <v>0</v>
      </c>
      <c r="B42" s="68" t="str">
        <f>CONCATENATE("№",Данные!B35," от ", TEXT(Данные!C35,"ДД.ММ.ГГГГ\г\."))</f>
        <v>№ от 00.01.1900г.</v>
      </c>
      <c r="C42" s="68" t="str">
        <f>CONCATENATE("№",Данные!F35," от ",TEXT(Данные!G35,"ДД.ММ.ГГГГ\г\."))</f>
        <v>№ от 00.01.1900г.</v>
      </c>
      <c r="D42" s="162">
        <f>Данные!H35</f>
        <v>0</v>
      </c>
      <c r="E42" s="169" t="str">
        <f>IF(Данные!I35 = 2, "МГ", "МН")</f>
        <v>МН</v>
      </c>
      <c r="F42" s="162">
        <f>Данные!J35</f>
        <v>0</v>
      </c>
      <c r="G42" s="162">
        <f>Данные!K35</f>
        <v>0</v>
      </c>
      <c r="H42" s="69">
        <f>Данные!L35</f>
        <v>0</v>
      </c>
      <c r="I42" s="162">
        <f>Данные!M35</f>
        <v>0</v>
      </c>
      <c r="J42" s="69">
        <f>Данные!N35</f>
        <v>0</v>
      </c>
      <c r="K42" s="70">
        <f>Данные!O35</f>
        <v>0</v>
      </c>
      <c r="L42" s="140"/>
    </row>
    <row r="43" spans="1:12" x14ac:dyDescent="0.25">
      <c r="A43" s="67">
        <f>Данные!A36</f>
        <v>0</v>
      </c>
      <c r="B43" s="68" t="str">
        <f>CONCATENATE("№",Данные!B36," от ", TEXT(Данные!C36,"ДД.ММ.ГГГГ\г\."))</f>
        <v>№ от 00.01.1900г.</v>
      </c>
      <c r="C43" s="68" t="str">
        <f>CONCATENATE("№",Данные!F36," от ",TEXT(Данные!G36,"ДД.ММ.ГГГГ\г\."))</f>
        <v>№ от 00.01.1900г.</v>
      </c>
      <c r="D43" s="162">
        <f>Данные!H36</f>
        <v>0</v>
      </c>
      <c r="E43" s="169" t="str">
        <f>IF(Данные!I36 = 2, "МГ", "МН")</f>
        <v>МН</v>
      </c>
      <c r="F43" s="162">
        <f>Данные!J36</f>
        <v>0</v>
      </c>
      <c r="G43" s="162">
        <f>Данные!K36</f>
        <v>0</v>
      </c>
      <c r="H43" s="69">
        <f>Данные!L36</f>
        <v>0</v>
      </c>
      <c r="I43" s="162">
        <f>Данные!M36</f>
        <v>0</v>
      </c>
      <c r="J43" s="69">
        <f>Данные!N36</f>
        <v>0</v>
      </c>
      <c r="K43" s="70">
        <f>Данные!O36</f>
        <v>0</v>
      </c>
      <c r="L43" s="140"/>
    </row>
    <row r="44" spans="1:12" x14ac:dyDescent="0.25">
      <c r="A44" s="67">
        <f>Данные!A37</f>
        <v>0</v>
      </c>
      <c r="B44" s="68" t="str">
        <f>CONCATENATE("№",Данные!B37," от ", TEXT(Данные!C37,"ДД.ММ.ГГГГ\г\."))</f>
        <v>№ от 00.01.1900г.</v>
      </c>
      <c r="C44" s="68" t="str">
        <f>CONCATENATE("№",Данные!F37," от ",TEXT(Данные!G37,"ДД.ММ.ГГГГ\г\."))</f>
        <v>№ от 00.01.1900г.</v>
      </c>
      <c r="D44" s="162">
        <f>Данные!H37</f>
        <v>0</v>
      </c>
      <c r="E44" s="169" t="str">
        <f>IF(Данные!I37 = 2, "МГ", "МН")</f>
        <v>МН</v>
      </c>
      <c r="F44" s="162">
        <f>Данные!J37</f>
        <v>0</v>
      </c>
      <c r="G44" s="162">
        <f>Данные!K37</f>
        <v>0</v>
      </c>
      <c r="H44" s="69">
        <f>Данные!L37</f>
        <v>0</v>
      </c>
      <c r="I44" s="162">
        <f>Данные!M37</f>
        <v>0</v>
      </c>
      <c r="J44" s="69">
        <f>Данные!N37</f>
        <v>0</v>
      </c>
      <c r="K44" s="70">
        <f>Данные!O37</f>
        <v>0</v>
      </c>
      <c r="L44" s="140"/>
    </row>
    <row r="45" spans="1:12" x14ac:dyDescent="0.25">
      <c r="A45" s="67">
        <f>Данные!A38</f>
        <v>0</v>
      </c>
      <c r="B45" s="68" t="str">
        <f>CONCATENATE("№",Данные!B38," от ", TEXT(Данные!C38,"ДД.ММ.ГГГГ\г\."))</f>
        <v>№ от 00.01.1900г.</v>
      </c>
      <c r="C45" s="68" t="str">
        <f>CONCATENATE("№",Данные!F38," от ",TEXT(Данные!G38,"ДД.ММ.ГГГГ\г\."))</f>
        <v>№ от 00.01.1900г.</v>
      </c>
      <c r="D45" s="162">
        <f>Данные!H38</f>
        <v>0</v>
      </c>
      <c r="E45" s="169" t="str">
        <f>IF(Данные!I38 = 2, "МГ", "МН")</f>
        <v>МН</v>
      </c>
      <c r="F45" s="162">
        <f>Данные!J38</f>
        <v>0</v>
      </c>
      <c r="G45" s="162">
        <f>Данные!K38</f>
        <v>0</v>
      </c>
      <c r="H45" s="69">
        <f>Данные!L38</f>
        <v>0</v>
      </c>
      <c r="I45" s="162">
        <f>Данные!M38</f>
        <v>0</v>
      </c>
      <c r="J45" s="69">
        <f>Данные!N38</f>
        <v>0</v>
      </c>
      <c r="K45" s="70">
        <f>Данные!O38</f>
        <v>0</v>
      </c>
      <c r="L45" s="140"/>
    </row>
    <row r="46" spans="1:12" x14ac:dyDescent="0.25">
      <c r="A46" s="67">
        <f>Данные!A39</f>
        <v>0</v>
      </c>
      <c r="B46" s="68" t="str">
        <f>CONCATENATE("№",Данные!B39," от ", TEXT(Данные!C39,"ДД.ММ.ГГГГ\г\."))</f>
        <v>№ от 00.01.1900г.</v>
      </c>
      <c r="C46" s="68" t="str">
        <f>CONCATENATE("№",Данные!F39," от ",TEXT(Данные!G39,"ДД.ММ.ГГГГ\г\."))</f>
        <v>№ от 00.01.1900г.</v>
      </c>
      <c r="D46" s="162">
        <f>Данные!H39</f>
        <v>0</v>
      </c>
      <c r="E46" s="169" t="str">
        <f>IF(Данные!I39 = 2, "МГ", "МН")</f>
        <v>МН</v>
      </c>
      <c r="F46" s="162">
        <f>Данные!J39</f>
        <v>0</v>
      </c>
      <c r="G46" s="162">
        <f>Данные!K39</f>
        <v>0</v>
      </c>
      <c r="H46" s="69">
        <f>Данные!L39</f>
        <v>0</v>
      </c>
      <c r="I46" s="162">
        <f>Данные!M39</f>
        <v>0</v>
      </c>
      <c r="J46" s="69">
        <f>Данные!N39</f>
        <v>0</v>
      </c>
      <c r="K46" s="70">
        <f>Данные!O39</f>
        <v>0</v>
      </c>
      <c r="L46" s="140"/>
    </row>
    <row r="47" spans="1:12" x14ac:dyDescent="0.25">
      <c r="A47" s="67">
        <f>Данные!A40</f>
        <v>0</v>
      </c>
      <c r="B47" s="68" t="str">
        <f>CONCATENATE("№",Данные!B40," от ", TEXT(Данные!C40,"ДД.ММ.ГГГГ\г\."))</f>
        <v>№ от 00.01.1900г.</v>
      </c>
      <c r="C47" s="68" t="str">
        <f>CONCATENATE("№",Данные!F40," от ",TEXT(Данные!G40,"ДД.ММ.ГГГГ\г\."))</f>
        <v>№ от 00.01.1900г.</v>
      </c>
      <c r="D47" s="162">
        <f>Данные!H40</f>
        <v>0</v>
      </c>
      <c r="E47" s="169" t="str">
        <f>IF(Данные!I40 = 2, "МГ", "МН")</f>
        <v>МН</v>
      </c>
      <c r="F47" s="162">
        <f>Данные!J40</f>
        <v>0</v>
      </c>
      <c r="G47" s="162">
        <f>Данные!K40</f>
        <v>0</v>
      </c>
      <c r="H47" s="69">
        <f>Данные!L40</f>
        <v>0</v>
      </c>
      <c r="I47" s="162">
        <f>Данные!M40</f>
        <v>0</v>
      </c>
      <c r="J47" s="69">
        <f>Данные!N40</f>
        <v>0</v>
      </c>
      <c r="K47" s="70">
        <f>Данные!O40</f>
        <v>0</v>
      </c>
      <c r="L47" s="140"/>
    </row>
    <row r="48" spans="1:12" x14ac:dyDescent="0.25">
      <c r="A48" s="67">
        <f>Данные!A41</f>
        <v>0</v>
      </c>
      <c r="B48" s="68" t="str">
        <f>CONCATENATE("№",Данные!B41," от ", TEXT(Данные!C41,"ДД.ММ.ГГГГ\г\."))</f>
        <v>№ от 00.01.1900г.</v>
      </c>
      <c r="C48" s="68" t="str">
        <f>CONCATENATE("№",Данные!F41," от ",TEXT(Данные!G41,"ДД.ММ.ГГГГ\г\."))</f>
        <v>№ от 00.01.1900г.</v>
      </c>
      <c r="D48" s="162">
        <f>Данные!H41</f>
        <v>0</v>
      </c>
      <c r="E48" s="169" t="str">
        <f>IF(Данные!I41 = 2, "МГ", "МН")</f>
        <v>МН</v>
      </c>
      <c r="F48" s="162">
        <f>Данные!J41</f>
        <v>0</v>
      </c>
      <c r="G48" s="162">
        <f>Данные!K41</f>
        <v>0</v>
      </c>
      <c r="H48" s="69">
        <f>Данные!L41</f>
        <v>0</v>
      </c>
      <c r="I48" s="162">
        <f>Данные!M41</f>
        <v>0</v>
      </c>
      <c r="J48" s="69">
        <f>Данные!N41</f>
        <v>0</v>
      </c>
      <c r="K48" s="70">
        <f>Данные!O41</f>
        <v>0</v>
      </c>
      <c r="L48" s="140"/>
    </row>
    <row r="49" spans="1:12" x14ac:dyDescent="0.25">
      <c r="A49" s="67">
        <f>Данные!A42</f>
        <v>0</v>
      </c>
      <c r="B49" s="68" t="str">
        <f>CONCATENATE("№",Данные!B42," от ", TEXT(Данные!C42,"ДД.ММ.ГГГГ\г\."))</f>
        <v>№ от 00.01.1900г.</v>
      </c>
      <c r="C49" s="68" t="str">
        <f>CONCATENATE("№",Данные!F42," от ",TEXT(Данные!G42,"ДД.ММ.ГГГГ\г\."))</f>
        <v>№ от 00.01.1900г.</v>
      </c>
      <c r="D49" s="162">
        <f>Данные!H42</f>
        <v>0</v>
      </c>
      <c r="E49" s="169" t="str">
        <f>IF(Данные!I42 = 2, "МГ", "МН")</f>
        <v>МН</v>
      </c>
      <c r="F49" s="162">
        <f>Данные!J42</f>
        <v>0</v>
      </c>
      <c r="G49" s="162">
        <f>Данные!K42</f>
        <v>0</v>
      </c>
      <c r="H49" s="69">
        <f>Данные!L42</f>
        <v>0</v>
      </c>
      <c r="I49" s="162">
        <f>Данные!M42</f>
        <v>0</v>
      </c>
      <c r="J49" s="69">
        <f>Данные!N42</f>
        <v>0</v>
      </c>
      <c r="K49" s="70">
        <f>Данные!O42</f>
        <v>0</v>
      </c>
      <c r="L49" s="140"/>
    </row>
    <row r="50" spans="1:12" x14ac:dyDescent="0.25">
      <c r="A50" s="67">
        <f>Данные!A43</f>
        <v>0</v>
      </c>
      <c r="B50" s="68" t="str">
        <f>CONCATENATE("№",Данные!B43," от ", TEXT(Данные!C43,"ДД.ММ.ГГГГ\г\."))</f>
        <v>№ от 00.01.1900г.</v>
      </c>
      <c r="C50" s="68" t="str">
        <f>CONCATENATE("№",Данные!F43," от ",TEXT(Данные!G43,"ДД.ММ.ГГГГ\г\."))</f>
        <v>№ от 00.01.1900г.</v>
      </c>
      <c r="D50" s="162">
        <f>Данные!H43</f>
        <v>0</v>
      </c>
      <c r="E50" s="169" t="str">
        <f>IF(Данные!I43 = 2, "МГ", "МН")</f>
        <v>МН</v>
      </c>
      <c r="F50" s="162">
        <f>Данные!J43</f>
        <v>0</v>
      </c>
      <c r="G50" s="162">
        <f>Данные!K43</f>
        <v>0</v>
      </c>
      <c r="H50" s="69">
        <f>Данные!L43</f>
        <v>0</v>
      </c>
      <c r="I50" s="162">
        <f>Данные!M43</f>
        <v>0</v>
      </c>
      <c r="J50" s="69">
        <f>Данные!N43</f>
        <v>0</v>
      </c>
      <c r="K50" s="70">
        <f>Данные!O43</f>
        <v>0</v>
      </c>
      <c r="L50" s="140"/>
    </row>
    <row r="51" spans="1:12" x14ac:dyDescent="0.25">
      <c r="A51" s="67">
        <f>Данные!A44</f>
        <v>0</v>
      </c>
      <c r="B51" s="68" t="str">
        <f>CONCATENATE("№",Данные!B44," от ", TEXT(Данные!C44,"ДД.ММ.ГГГГ\г\."))</f>
        <v>№ от 00.01.1900г.</v>
      </c>
      <c r="C51" s="68" t="str">
        <f>CONCATENATE("№",Данные!F44," от ",TEXT(Данные!G44,"ДД.ММ.ГГГГ\г\."))</f>
        <v>№ от 00.01.1900г.</v>
      </c>
      <c r="D51" s="162">
        <f>Данные!H44</f>
        <v>0</v>
      </c>
      <c r="E51" s="169" t="str">
        <f>IF(Данные!I44 = 2, "МГ", "МН")</f>
        <v>МН</v>
      </c>
      <c r="F51" s="162">
        <f>Данные!J44</f>
        <v>0</v>
      </c>
      <c r="G51" s="162">
        <f>Данные!K44</f>
        <v>0</v>
      </c>
      <c r="H51" s="69">
        <f>Данные!L44</f>
        <v>0</v>
      </c>
      <c r="I51" s="162">
        <f>Данные!M44</f>
        <v>0</v>
      </c>
      <c r="J51" s="69">
        <f>Данные!N44</f>
        <v>0</v>
      </c>
      <c r="K51" s="70">
        <f>Данные!O44</f>
        <v>0</v>
      </c>
      <c r="L51" s="140"/>
    </row>
    <row r="52" spans="1:12" x14ac:dyDescent="0.25">
      <c r="A52" s="67">
        <f>Данные!A45</f>
        <v>0</v>
      </c>
      <c r="B52" s="68" t="str">
        <f>CONCATENATE("№",Данные!B45," от ", TEXT(Данные!C45,"ДД.ММ.ГГГГ\г\."))</f>
        <v>№ от 00.01.1900г.</v>
      </c>
      <c r="C52" s="68" t="str">
        <f>CONCATENATE("№",Данные!F45," от ",TEXT(Данные!G45,"ДД.ММ.ГГГГ\г\."))</f>
        <v>№ от 00.01.1900г.</v>
      </c>
      <c r="D52" s="162">
        <f>Данные!H45</f>
        <v>0</v>
      </c>
      <c r="E52" s="169" t="str">
        <f>IF(Данные!I45 = 2, "МГ", "МН")</f>
        <v>МН</v>
      </c>
      <c r="F52" s="162">
        <f>Данные!J45</f>
        <v>0</v>
      </c>
      <c r="G52" s="162">
        <f>Данные!K45</f>
        <v>0</v>
      </c>
      <c r="H52" s="69">
        <f>Данные!L45</f>
        <v>0</v>
      </c>
      <c r="I52" s="162">
        <f>Данные!M45</f>
        <v>0</v>
      </c>
      <c r="J52" s="69">
        <f>Данные!N45</f>
        <v>0</v>
      </c>
      <c r="K52" s="70">
        <f>Данные!O45</f>
        <v>0</v>
      </c>
      <c r="L52" s="140"/>
    </row>
    <row r="53" spans="1:12" x14ac:dyDescent="0.25">
      <c r="A53" s="67">
        <f>Данные!A46</f>
        <v>0</v>
      </c>
      <c r="B53" s="68" t="str">
        <f>CONCATENATE("№",Данные!B46," от ", TEXT(Данные!C46,"ДД.ММ.ГГГГ\г\."))</f>
        <v>№ от 00.01.1900г.</v>
      </c>
      <c r="C53" s="68" t="str">
        <f>CONCATENATE("№",Данные!F46," от ",TEXT(Данные!G46,"ДД.ММ.ГГГГ\г\."))</f>
        <v>№ от 00.01.1900г.</v>
      </c>
      <c r="D53" s="162">
        <f>Данные!H46</f>
        <v>0</v>
      </c>
      <c r="E53" s="169" t="str">
        <f>IF(Данные!I46 = 2, "МГ", "МН")</f>
        <v>МН</v>
      </c>
      <c r="F53" s="162">
        <f>Данные!J46</f>
        <v>0</v>
      </c>
      <c r="G53" s="162">
        <f>Данные!K46</f>
        <v>0</v>
      </c>
      <c r="H53" s="69">
        <f>Данные!L46</f>
        <v>0</v>
      </c>
      <c r="I53" s="162">
        <f>Данные!M46</f>
        <v>0</v>
      </c>
      <c r="J53" s="69">
        <f>Данные!N46</f>
        <v>0</v>
      </c>
      <c r="K53" s="70">
        <f>Данные!O46</f>
        <v>0</v>
      </c>
      <c r="L53" s="140"/>
    </row>
    <row r="54" spans="1:12" x14ac:dyDescent="0.25">
      <c r="A54" s="67">
        <f>Данные!A47</f>
        <v>0</v>
      </c>
      <c r="B54" s="68" t="str">
        <f>CONCATENATE("№",Данные!B47," от ", TEXT(Данные!C47,"ДД.ММ.ГГГГ\г\."))</f>
        <v>№ от 00.01.1900г.</v>
      </c>
      <c r="C54" s="68" t="str">
        <f>CONCATENATE("№",Данные!F47," от ",TEXT(Данные!G47,"ДД.ММ.ГГГГ\г\."))</f>
        <v>№ от 00.01.1900г.</v>
      </c>
      <c r="D54" s="162">
        <f>Данные!H47</f>
        <v>0</v>
      </c>
      <c r="E54" s="169" t="str">
        <f>IF(Данные!I47 = 2, "МГ", "МН")</f>
        <v>МН</v>
      </c>
      <c r="F54" s="162">
        <f>Данные!J47</f>
        <v>0</v>
      </c>
      <c r="G54" s="162">
        <f>Данные!K47</f>
        <v>0</v>
      </c>
      <c r="H54" s="69">
        <f>Данные!L47</f>
        <v>0</v>
      </c>
      <c r="I54" s="162">
        <f>Данные!M47</f>
        <v>0</v>
      </c>
      <c r="J54" s="69">
        <f>Данные!N47</f>
        <v>0</v>
      </c>
      <c r="K54" s="70">
        <f>Данные!O47</f>
        <v>0</v>
      </c>
      <c r="L54" s="140"/>
    </row>
    <row r="55" spans="1:12" x14ac:dyDescent="0.25">
      <c r="A55" s="67">
        <f>Данные!A48</f>
        <v>0</v>
      </c>
      <c r="B55" s="68" t="str">
        <f>CONCATENATE("№",Данные!B48," от ", TEXT(Данные!C48,"ДД.ММ.ГГГГ\г\."))</f>
        <v>№ от 00.01.1900г.</v>
      </c>
      <c r="C55" s="68" t="str">
        <f>CONCATENATE("№",Данные!F48," от ",TEXT(Данные!G48,"ДД.ММ.ГГГГ\г\."))</f>
        <v>№ от 00.01.1900г.</v>
      </c>
      <c r="D55" s="162">
        <f>Данные!H48</f>
        <v>0</v>
      </c>
      <c r="E55" s="169" t="str">
        <f>IF(Данные!I48 = 2, "МГ", "МН")</f>
        <v>МН</v>
      </c>
      <c r="F55" s="162">
        <f>Данные!J48</f>
        <v>0</v>
      </c>
      <c r="G55" s="162">
        <f>Данные!K48</f>
        <v>0</v>
      </c>
      <c r="H55" s="69">
        <f>Данные!L48</f>
        <v>0</v>
      </c>
      <c r="I55" s="162">
        <f>Данные!M48</f>
        <v>0</v>
      </c>
      <c r="J55" s="69">
        <f>Данные!N48</f>
        <v>0</v>
      </c>
      <c r="K55" s="70">
        <f>Данные!O48</f>
        <v>0</v>
      </c>
      <c r="L55" s="140"/>
    </row>
    <row r="56" spans="1:12" x14ac:dyDescent="0.25">
      <c r="A56" s="67">
        <f>Данные!A49</f>
        <v>0</v>
      </c>
      <c r="B56" s="68" t="str">
        <f>CONCATENATE("№",Данные!B49," от ", TEXT(Данные!C49,"ДД.ММ.ГГГГ\г\."))</f>
        <v>№ от 00.01.1900г.</v>
      </c>
      <c r="C56" s="68" t="str">
        <f>CONCATENATE("№",Данные!F49," от ",TEXT(Данные!G49,"ДД.ММ.ГГГГ\г\."))</f>
        <v>№ от 00.01.1900г.</v>
      </c>
      <c r="D56" s="162">
        <f>Данные!H49</f>
        <v>0</v>
      </c>
      <c r="E56" s="169" t="str">
        <f>IF(Данные!I49 = 2, "МГ", "МН")</f>
        <v>МН</v>
      </c>
      <c r="F56" s="162">
        <f>Данные!J49</f>
        <v>0</v>
      </c>
      <c r="G56" s="162">
        <f>Данные!K49</f>
        <v>0</v>
      </c>
      <c r="H56" s="69">
        <f>Данные!L49</f>
        <v>0</v>
      </c>
      <c r="I56" s="162">
        <f>Данные!M49</f>
        <v>0</v>
      </c>
      <c r="J56" s="69">
        <f>Данные!N49</f>
        <v>0</v>
      </c>
      <c r="K56" s="70">
        <f>Данные!O49</f>
        <v>0</v>
      </c>
      <c r="L56" s="140"/>
    </row>
    <row r="57" spans="1:12" x14ac:dyDescent="0.25">
      <c r="A57" s="67">
        <f>Данные!A50</f>
        <v>0</v>
      </c>
      <c r="B57" s="68" t="str">
        <f>CONCATENATE("№",Данные!B50," от ", TEXT(Данные!C50,"ДД.ММ.ГГГГ\г\."))</f>
        <v>№ от 00.01.1900г.</v>
      </c>
      <c r="C57" s="68" t="str">
        <f>CONCATENATE("№",Данные!F50," от ",TEXT(Данные!G50,"ДД.ММ.ГГГГ\г\."))</f>
        <v>№ от 00.01.1900г.</v>
      </c>
      <c r="D57" s="162">
        <f>Данные!H50</f>
        <v>0</v>
      </c>
      <c r="E57" s="169" t="str">
        <f>IF(Данные!I50 = 2, "МГ", "МН")</f>
        <v>МН</v>
      </c>
      <c r="F57" s="162">
        <f>Данные!J50</f>
        <v>0</v>
      </c>
      <c r="G57" s="162">
        <f>Данные!K50</f>
        <v>0</v>
      </c>
      <c r="H57" s="69">
        <f>Данные!L50</f>
        <v>0</v>
      </c>
      <c r="I57" s="162">
        <f>Данные!M50</f>
        <v>0</v>
      </c>
      <c r="J57" s="69">
        <f>Данные!N50</f>
        <v>0</v>
      </c>
      <c r="K57" s="70">
        <f>Данные!O50</f>
        <v>0</v>
      </c>
      <c r="L57" s="140"/>
    </row>
    <row r="58" spans="1:12" x14ac:dyDescent="0.25">
      <c r="A58" s="67">
        <f>Данные!A51</f>
        <v>0</v>
      </c>
      <c r="B58" s="68" t="str">
        <f>CONCATENATE("№",Данные!B51," от ", TEXT(Данные!C51,"ДД.ММ.ГГГГ\г\."))</f>
        <v>№ от 00.01.1900г.</v>
      </c>
      <c r="C58" s="68" t="str">
        <f>CONCATENATE("№",Данные!F51," от ",TEXT(Данные!G51,"ДД.ММ.ГГГГ\г\."))</f>
        <v>№ от 00.01.1900г.</v>
      </c>
      <c r="D58" s="162">
        <f>Данные!H51</f>
        <v>0</v>
      </c>
      <c r="E58" s="169" t="str">
        <f>IF(Данные!I51 = 2, "МГ", "МН")</f>
        <v>МН</v>
      </c>
      <c r="F58" s="162">
        <f>Данные!J51</f>
        <v>0</v>
      </c>
      <c r="G58" s="162">
        <f>Данные!K51</f>
        <v>0</v>
      </c>
      <c r="H58" s="69">
        <f>Данные!L51</f>
        <v>0</v>
      </c>
      <c r="I58" s="162">
        <f>Данные!M51</f>
        <v>0</v>
      </c>
      <c r="J58" s="69">
        <f>Данные!N51</f>
        <v>0</v>
      </c>
      <c r="K58" s="70">
        <f>Данные!O51</f>
        <v>0</v>
      </c>
      <c r="L58" s="140"/>
    </row>
    <row r="59" spans="1:12" x14ac:dyDescent="0.25">
      <c r="A59" s="67">
        <f>Данные!A52</f>
        <v>0</v>
      </c>
      <c r="B59" s="68" t="str">
        <f>CONCATENATE("№",Данные!B52," от ", TEXT(Данные!C52,"ДД.ММ.ГГГГ\г\."))</f>
        <v>№ от 00.01.1900г.</v>
      </c>
      <c r="C59" s="68" t="str">
        <f>CONCATENATE("№",Данные!F52," от ",TEXT(Данные!G52,"ДД.ММ.ГГГГ\г\."))</f>
        <v>№ от 00.01.1900г.</v>
      </c>
      <c r="D59" s="162">
        <f>Данные!H52</f>
        <v>0</v>
      </c>
      <c r="E59" s="169" t="str">
        <f>IF(Данные!I52 = 2, "МГ", "МН")</f>
        <v>МН</v>
      </c>
      <c r="F59" s="162">
        <f>Данные!J52</f>
        <v>0</v>
      </c>
      <c r="G59" s="162">
        <f>Данные!K52</f>
        <v>0</v>
      </c>
      <c r="H59" s="69">
        <f>Данные!L52</f>
        <v>0</v>
      </c>
      <c r="I59" s="162">
        <f>Данные!M52</f>
        <v>0</v>
      </c>
      <c r="J59" s="69">
        <f>Данные!N52</f>
        <v>0</v>
      </c>
      <c r="K59" s="70">
        <f>Данные!O52</f>
        <v>0</v>
      </c>
      <c r="L59" s="140"/>
    </row>
    <row r="60" spans="1:12" x14ac:dyDescent="0.25">
      <c r="A60" s="67">
        <f>Данные!A53</f>
        <v>0</v>
      </c>
      <c r="B60" s="68" t="str">
        <f>CONCATENATE("№",Данные!B53," от ", TEXT(Данные!C53,"ДД.ММ.ГГГГ\г\."))</f>
        <v>№ от 00.01.1900г.</v>
      </c>
      <c r="C60" s="68" t="str">
        <f>CONCATENATE("№",Данные!F53," от ",TEXT(Данные!G53,"ДД.ММ.ГГГГ\г\."))</f>
        <v>№ от 00.01.1900г.</v>
      </c>
      <c r="D60" s="162">
        <f>Данные!H53</f>
        <v>0</v>
      </c>
      <c r="E60" s="169" t="str">
        <f>IF(Данные!I53 = 2, "МГ", "МН")</f>
        <v>МН</v>
      </c>
      <c r="F60" s="162">
        <f>Данные!J53</f>
        <v>0</v>
      </c>
      <c r="G60" s="162">
        <f>Данные!K53</f>
        <v>0</v>
      </c>
      <c r="H60" s="69">
        <f>Данные!L53</f>
        <v>0</v>
      </c>
      <c r="I60" s="162">
        <f>Данные!M53</f>
        <v>0</v>
      </c>
      <c r="J60" s="69">
        <f>Данные!N53</f>
        <v>0</v>
      </c>
      <c r="K60" s="70">
        <f>Данные!O53</f>
        <v>0</v>
      </c>
      <c r="L60" s="140"/>
    </row>
    <row r="61" spans="1:12" x14ac:dyDescent="0.25">
      <c r="A61" s="67">
        <f>Данные!A54</f>
        <v>0</v>
      </c>
      <c r="B61" s="68" t="str">
        <f>CONCATENATE("№",Данные!B54," от ", TEXT(Данные!C54,"ДД.ММ.ГГГГ\г\."))</f>
        <v>№ от 00.01.1900г.</v>
      </c>
      <c r="C61" s="68" t="str">
        <f>CONCATENATE("№",Данные!F54," от ",TEXT(Данные!G54,"ДД.ММ.ГГГГ\г\."))</f>
        <v>№ от 00.01.1900г.</v>
      </c>
      <c r="D61" s="162">
        <f>Данные!H54</f>
        <v>0</v>
      </c>
      <c r="E61" s="169" t="str">
        <f>IF(Данные!I54 = 2, "МГ", "МН")</f>
        <v>МН</v>
      </c>
      <c r="F61" s="162">
        <f>Данные!J54</f>
        <v>0</v>
      </c>
      <c r="G61" s="162">
        <f>Данные!K54</f>
        <v>0</v>
      </c>
      <c r="H61" s="69">
        <f>Данные!L54</f>
        <v>0</v>
      </c>
      <c r="I61" s="162">
        <f>Данные!M54</f>
        <v>0</v>
      </c>
      <c r="J61" s="69">
        <f>Данные!N54</f>
        <v>0</v>
      </c>
      <c r="K61" s="70">
        <f>Данные!O54</f>
        <v>0</v>
      </c>
      <c r="L61" s="140"/>
    </row>
    <row r="62" spans="1:12" x14ac:dyDescent="0.25">
      <c r="A62" s="67">
        <f>Данные!A55</f>
        <v>0</v>
      </c>
      <c r="B62" s="68" t="str">
        <f>CONCATENATE("№",Данные!B55," от ", TEXT(Данные!C55,"ДД.ММ.ГГГГ\г\."))</f>
        <v>№ от 00.01.1900г.</v>
      </c>
      <c r="C62" s="68" t="str">
        <f>CONCATENATE("№",Данные!F55," от ",TEXT(Данные!G55,"ДД.ММ.ГГГГ\г\."))</f>
        <v>№ от 00.01.1900г.</v>
      </c>
      <c r="D62" s="162">
        <f>Данные!H55</f>
        <v>0</v>
      </c>
      <c r="E62" s="169" t="str">
        <f>IF(Данные!I55 = 2, "МГ", "МН")</f>
        <v>МН</v>
      </c>
      <c r="F62" s="162">
        <f>Данные!J55</f>
        <v>0</v>
      </c>
      <c r="G62" s="162">
        <f>Данные!K55</f>
        <v>0</v>
      </c>
      <c r="H62" s="69">
        <f>Данные!L55</f>
        <v>0</v>
      </c>
      <c r="I62" s="162">
        <f>Данные!M55</f>
        <v>0</v>
      </c>
      <c r="J62" s="69">
        <f>Данные!N55</f>
        <v>0</v>
      </c>
      <c r="K62" s="70">
        <f>Данные!O55</f>
        <v>0</v>
      </c>
      <c r="L62" s="140"/>
    </row>
    <row r="63" spans="1:12" x14ac:dyDescent="0.25">
      <c r="A63" s="67">
        <f>Данные!A56</f>
        <v>0</v>
      </c>
      <c r="B63" s="68" t="str">
        <f>CONCATENATE("№",Данные!B56," от ", TEXT(Данные!C56,"ДД.ММ.ГГГГ\г\."))</f>
        <v>№ от 00.01.1900г.</v>
      </c>
      <c r="C63" s="68" t="str">
        <f>CONCATENATE("№",Данные!F56," от ",TEXT(Данные!G56,"ДД.ММ.ГГГГ\г\."))</f>
        <v>№ от 00.01.1900г.</v>
      </c>
      <c r="D63" s="162">
        <f>Данные!H56</f>
        <v>0</v>
      </c>
      <c r="E63" s="169" t="str">
        <f>IF(Данные!I56 = 2, "МГ", "МН")</f>
        <v>МН</v>
      </c>
      <c r="F63" s="162">
        <f>Данные!J56</f>
        <v>0</v>
      </c>
      <c r="G63" s="162">
        <f>Данные!K56</f>
        <v>0</v>
      </c>
      <c r="H63" s="69">
        <f>Данные!L56</f>
        <v>0</v>
      </c>
      <c r="I63" s="162">
        <f>Данные!M56</f>
        <v>0</v>
      </c>
      <c r="J63" s="69">
        <f>Данные!N56</f>
        <v>0</v>
      </c>
      <c r="K63" s="70">
        <f>Данные!O56</f>
        <v>0</v>
      </c>
      <c r="L63" s="140"/>
    </row>
    <row r="64" spans="1:12" x14ac:dyDescent="0.25">
      <c r="A64" s="67">
        <f>Данные!A57</f>
        <v>0</v>
      </c>
      <c r="B64" s="68" t="str">
        <f>CONCATENATE("№",Данные!B57," от ", TEXT(Данные!C57,"ДД.ММ.ГГГГ\г\."))</f>
        <v>№ от 00.01.1900г.</v>
      </c>
      <c r="C64" s="68" t="str">
        <f>CONCATENATE("№",Данные!F57," от ",TEXT(Данные!G57,"ДД.ММ.ГГГГ\г\."))</f>
        <v>№ от 00.01.1900г.</v>
      </c>
      <c r="D64" s="162">
        <f>Данные!H57</f>
        <v>0</v>
      </c>
      <c r="E64" s="169" t="str">
        <f>IF(Данные!I57 = 2, "МГ", "МН")</f>
        <v>МН</v>
      </c>
      <c r="F64" s="162">
        <f>Данные!J57</f>
        <v>0</v>
      </c>
      <c r="G64" s="162">
        <f>Данные!K57</f>
        <v>0</v>
      </c>
      <c r="H64" s="69">
        <f>Данные!L57</f>
        <v>0</v>
      </c>
      <c r="I64" s="162">
        <f>Данные!M57</f>
        <v>0</v>
      </c>
      <c r="J64" s="69">
        <f>Данные!N57</f>
        <v>0</v>
      </c>
      <c r="K64" s="70">
        <f>Данные!O57</f>
        <v>0</v>
      </c>
      <c r="L64" s="140"/>
    </row>
    <row r="65" spans="1:12" x14ac:dyDescent="0.25">
      <c r="A65" s="67">
        <f>Данные!A58</f>
        <v>0</v>
      </c>
      <c r="B65" s="68" t="str">
        <f>CONCATENATE("№",Данные!B58," от ", TEXT(Данные!C58,"ДД.ММ.ГГГГ\г\."))</f>
        <v>№ от 00.01.1900г.</v>
      </c>
      <c r="C65" s="68" t="str">
        <f>CONCATENATE("№",Данные!F58," от ",TEXT(Данные!G58,"ДД.ММ.ГГГГ\г\."))</f>
        <v>№ от 00.01.1900г.</v>
      </c>
      <c r="D65" s="162">
        <f>Данные!H58</f>
        <v>0</v>
      </c>
      <c r="E65" s="169" t="str">
        <f>IF(Данные!I58 = 2, "МГ", "МН")</f>
        <v>МН</v>
      </c>
      <c r="F65" s="162">
        <f>Данные!J58</f>
        <v>0</v>
      </c>
      <c r="G65" s="162">
        <f>Данные!K58</f>
        <v>0</v>
      </c>
      <c r="H65" s="69">
        <f>Данные!L58</f>
        <v>0</v>
      </c>
      <c r="I65" s="162">
        <f>Данные!M58</f>
        <v>0</v>
      </c>
      <c r="J65" s="69">
        <f>Данные!N58</f>
        <v>0</v>
      </c>
      <c r="K65" s="70">
        <f>Данные!O58</f>
        <v>0</v>
      </c>
      <c r="L65" s="140"/>
    </row>
    <row r="66" spans="1:12" x14ac:dyDescent="0.25">
      <c r="A66" s="67">
        <f>Данные!A59</f>
        <v>0</v>
      </c>
      <c r="B66" s="68" t="str">
        <f>CONCATENATE("№",Данные!B59," от ", TEXT(Данные!C59,"ДД.ММ.ГГГГ\г\."))</f>
        <v>№ от 00.01.1900г.</v>
      </c>
      <c r="C66" s="68" t="str">
        <f>CONCATENATE("№",Данные!F59," от ",TEXT(Данные!G59,"ДД.ММ.ГГГГ\г\."))</f>
        <v>№ от 00.01.1900г.</v>
      </c>
      <c r="D66" s="162">
        <f>Данные!H59</f>
        <v>0</v>
      </c>
      <c r="E66" s="169" t="str">
        <f>IF(Данные!I59 = 2, "МГ", "МН")</f>
        <v>МН</v>
      </c>
      <c r="F66" s="162">
        <f>Данные!J59</f>
        <v>0</v>
      </c>
      <c r="G66" s="162">
        <f>Данные!K59</f>
        <v>0</v>
      </c>
      <c r="H66" s="69">
        <f>Данные!L59</f>
        <v>0</v>
      </c>
      <c r="I66" s="162">
        <f>Данные!M59</f>
        <v>0</v>
      </c>
      <c r="J66" s="69">
        <f>Данные!N59</f>
        <v>0</v>
      </c>
      <c r="K66" s="70">
        <f>Данные!O59</f>
        <v>0</v>
      </c>
      <c r="L66" s="140"/>
    </row>
    <row r="67" spans="1:12" x14ac:dyDescent="0.25">
      <c r="A67" s="67">
        <f>Данные!A60</f>
        <v>0</v>
      </c>
      <c r="B67" s="68" t="str">
        <f>CONCATENATE("№",Данные!B60," от ", TEXT(Данные!C60,"ДД.ММ.ГГГГ\г\."))</f>
        <v>№ от 00.01.1900г.</v>
      </c>
      <c r="C67" s="68" t="str">
        <f>CONCATENATE("№",Данные!F60," от ",TEXT(Данные!G60,"ДД.ММ.ГГГГ\г\."))</f>
        <v>№ от 00.01.1900г.</v>
      </c>
      <c r="D67" s="162">
        <f>Данные!H60</f>
        <v>0</v>
      </c>
      <c r="E67" s="169" t="str">
        <f>IF(Данные!I60 = 2, "МГ", "МН")</f>
        <v>МН</v>
      </c>
      <c r="F67" s="162">
        <f>Данные!J60</f>
        <v>0</v>
      </c>
      <c r="G67" s="162">
        <f>Данные!K60</f>
        <v>0</v>
      </c>
      <c r="H67" s="69">
        <f>Данные!L60</f>
        <v>0</v>
      </c>
      <c r="I67" s="162">
        <f>Данные!M60</f>
        <v>0</v>
      </c>
      <c r="J67" s="69">
        <f>Данные!N60</f>
        <v>0</v>
      </c>
      <c r="K67" s="70">
        <f>Данные!O60</f>
        <v>0</v>
      </c>
      <c r="L67" s="140"/>
    </row>
    <row r="68" spans="1:12" x14ac:dyDescent="0.25">
      <c r="A68" s="67">
        <f>Данные!A61</f>
        <v>0</v>
      </c>
      <c r="B68" s="68" t="str">
        <f>CONCATENATE("№",Данные!B61," от ", TEXT(Данные!C61,"ДД.ММ.ГГГГ\г\."))</f>
        <v>№ от 00.01.1900г.</v>
      </c>
      <c r="C68" s="68" t="str">
        <f>CONCATENATE("№",Данные!F61," от ",TEXT(Данные!G61,"ДД.ММ.ГГГГ\г\."))</f>
        <v>№ от 00.01.1900г.</v>
      </c>
      <c r="D68" s="162">
        <f>Данные!H61</f>
        <v>0</v>
      </c>
      <c r="E68" s="169" t="str">
        <f>IF(Данные!I61 = 2, "МГ", "МН")</f>
        <v>МН</v>
      </c>
      <c r="F68" s="162">
        <f>Данные!J61</f>
        <v>0</v>
      </c>
      <c r="G68" s="162">
        <f>Данные!K61</f>
        <v>0</v>
      </c>
      <c r="H68" s="69">
        <f>Данные!L61</f>
        <v>0</v>
      </c>
      <c r="I68" s="162">
        <f>Данные!M61</f>
        <v>0</v>
      </c>
      <c r="J68" s="69">
        <f>Данные!N61</f>
        <v>0</v>
      </c>
      <c r="K68" s="70">
        <f>Данные!O61</f>
        <v>0</v>
      </c>
      <c r="L68" s="140"/>
    </row>
    <row r="69" spans="1:12" x14ac:dyDescent="0.25">
      <c r="A69" s="67">
        <f>Данные!A62</f>
        <v>0</v>
      </c>
      <c r="B69" s="68" t="str">
        <f>CONCATENATE("№",Данные!B62," от ", TEXT(Данные!C62,"ДД.ММ.ГГГГ\г\."))</f>
        <v>№ от 00.01.1900г.</v>
      </c>
      <c r="C69" s="68" t="str">
        <f>CONCATENATE("№",Данные!F62," от ",TEXT(Данные!G62,"ДД.ММ.ГГГГ\г\."))</f>
        <v>№ от 00.01.1900г.</v>
      </c>
      <c r="D69" s="162">
        <f>Данные!H62</f>
        <v>0</v>
      </c>
      <c r="E69" s="169" t="str">
        <f>IF(Данные!I62 = 2, "МГ", "МН")</f>
        <v>МН</v>
      </c>
      <c r="F69" s="162">
        <f>Данные!J62</f>
        <v>0</v>
      </c>
      <c r="G69" s="162">
        <f>Данные!K62</f>
        <v>0</v>
      </c>
      <c r="H69" s="69">
        <f>Данные!L62</f>
        <v>0</v>
      </c>
      <c r="I69" s="162">
        <f>Данные!M62</f>
        <v>0</v>
      </c>
      <c r="J69" s="69">
        <f>Данные!N62</f>
        <v>0</v>
      </c>
      <c r="K69" s="70">
        <f>Данные!O62</f>
        <v>0</v>
      </c>
      <c r="L69" s="140"/>
    </row>
    <row r="70" spans="1:12" x14ac:dyDescent="0.25">
      <c r="A70" s="67">
        <f>Данные!A63</f>
        <v>0</v>
      </c>
      <c r="B70" s="68" t="str">
        <f>CONCATENATE("№",Данные!B63," от ", TEXT(Данные!C63,"ДД.ММ.ГГГГ\г\."))</f>
        <v>№ от 00.01.1900г.</v>
      </c>
      <c r="C70" s="68" t="str">
        <f>CONCATENATE("№",Данные!F63," от ",TEXT(Данные!G63,"ДД.ММ.ГГГГ\г\."))</f>
        <v>№ от 00.01.1900г.</v>
      </c>
      <c r="D70" s="162">
        <f>Данные!H63</f>
        <v>0</v>
      </c>
      <c r="E70" s="169" t="str">
        <f>IF(Данные!I63 = 2, "МГ", "МН")</f>
        <v>МН</v>
      </c>
      <c r="F70" s="162">
        <f>Данные!J63</f>
        <v>0</v>
      </c>
      <c r="G70" s="162">
        <f>Данные!K63</f>
        <v>0</v>
      </c>
      <c r="H70" s="69">
        <f>Данные!L63</f>
        <v>0</v>
      </c>
      <c r="I70" s="162">
        <f>Данные!M63</f>
        <v>0</v>
      </c>
      <c r="J70" s="69">
        <f>Данные!N63</f>
        <v>0</v>
      </c>
      <c r="K70" s="70">
        <f>Данные!O63</f>
        <v>0</v>
      </c>
      <c r="L70" s="140"/>
    </row>
    <row r="71" spans="1:12" x14ac:dyDescent="0.25">
      <c r="A71" s="67">
        <f>Данные!A64</f>
        <v>0</v>
      </c>
      <c r="B71" s="68" t="str">
        <f>CONCATENATE("№",Данные!B64," от ", TEXT(Данные!C64,"ДД.ММ.ГГГГ\г\."))</f>
        <v>№ от 00.01.1900г.</v>
      </c>
      <c r="C71" s="68" t="str">
        <f>CONCATENATE("№",Данные!F64," от ",TEXT(Данные!G64,"ДД.ММ.ГГГГ\г\."))</f>
        <v>№ от 00.01.1900г.</v>
      </c>
      <c r="D71" s="162">
        <f>Данные!H64</f>
        <v>0</v>
      </c>
      <c r="E71" s="169" t="str">
        <f>IF(Данные!I64 = 2, "МГ", "МН")</f>
        <v>МН</v>
      </c>
      <c r="F71" s="162">
        <f>Данные!J64</f>
        <v>0</v>
      </c>
      <c r="G71" s="162">
        <f>Данные!K64</f>
        <v>0</v>
      </c>
      <c r="H71" s="69">
        <f>Данные!L64</f>
        <v>0</v>
      </c>
      <c r="I71" s="162">
        <f>Данные!M64</f>
        <v>0</v>
      </c>
      <c r="J71" s="69">
        <f>Данные!N64</f>
        <v>0</v>
      </c>
      <c r="K71" s="70">
        <f>Данные!O64</f>
        <v>0</v>
      </c>
      <c r="L71" s="140"/>
    </row>
    <row r="72" spans="1:12" x14ac:dyDescent="0.25">
      <c r="A72" s="67">
        <f>Данные!A65</f>
        <v>0</v>
      </c>
      <c r="B72" s="68" t="str">
        <f>CONCATENATE("№",Данные!B65," от ", TEXT(Данные!C65,"ДД.ММ.ГГГГ\г\."))</f>
        <v>№ от 00.01.1900г.</v>
      </c>
      <c r="C72" s="68" t="str">
        <f>CONCATENATE("№",Данные!F65," от ",TEXT(Данные!G65,"ДД.ММ.ГГГГ\г\."))</f>
        <v>№ от 00.01.1900г.</v>
      </c>
      <c r="D72" s="162">
        <f>Данные!H65</f>
        <v>0</v>
      </c>
      <c r="E72" s="169" t="str">
        <f>IF(Данные!I65 = 2, "МГ", "МН")</f>
        <v>МН</v>
      </c>
      <c r="F72" s="162">
        <f>Данные!J65</f>
        <v>0</v>
      </c>
      <c r="G72" s="162">
        <f>Данные!K65</f>
        <v>0</v>
      </c>
      <c r="H72" s="69">
        <f>Данные!L65</f>
        <v>0</v>
      </c>
      <c r="I72" s="162">
        <f>Данные!M65</f>
        <v>0</v>
      </c>
      <c r="J72" s="69">
        <f>Данные!N65</f>
        <v>0</v>
      </c>
      <c r="K72" s="70">
        <f>Данные!O65</f>
        <v>0</v>
      </c>
      <c r="L72" s="140"/>
    </row>
    <row r="73" spans="1:12" x14ac:dyDescent="0.25">
      <c r="A73" s="67">
        <f>Данные!A66</f>
        <v>0</v>
      </c>
      <c r="B73" s="68" t="str">
        <f>CONCATENATE("№",Данные!B66," от ", TEXT(Данные!C66,"ДД.ММ.ГГГГ\г\."))</f>
        <v>№ от 00.01.1900г.</v>
      </c>
      <c r="C73" s="68" t="str">
        <f>CONCATENATE("№",Данные!F66," от ",TEXT(Данные!G66,"ДД.ММ.ГГГГ\г\."))</f>
        <v>№ от 00.01.1900г.</v>
      </c>
      <c r="D73" s="162">
        <f>Данные!H66</f>
        <v>0</v>
      </c>
      <c r="E73" s="169" t="str">
        <f>IF(Данные!I66 = 2, "МГ", "МН")</f>
        <v>МН</v>
      </c>
      <c r="F73" s="162">
        <f>Данные!J66</f>
        <v>0</v>
      </c>
      <c r="G73" s="162">
        <f>Данные!K66</f>
        <v>0</v>
      </c>
      <c r="H73" s="69">
        <f>Данные!L66</f>
        <v>0</v>
      </c>
      <c r="I73" s="162">
        <f>Данные!M66</f>
        <v>0</v>
      </c>
      <c r="J73" s="69">
        <f>Данные!N66</f>
        <v>0</v>
      </c>
      <c r="K73" s="70">
        <f>Данные!O66</f>
        <v>0</v>
      </c>
      <c r="L73" s="140"/>
    </row>
    <row r="74" spans="1:12" x14ac:dyDescent="0.25">
      <c r="A74" s="67">
        <f>Данные!A67</f>
        <v>0</v>
      </c>
      <c r="B74" s="68" t="str">
        <f>CONCATENATE("№",Данные!B67," от ", TEXT(Данные!C67,"ДД.ММ.ГГГГ\г\."))</f>
        <v>№ от 00.01.1900г.</v>
      </c>
      <c r="C74" s="68" t="str">
        <f>CONCATENATE("№",Данные!F67," от ",TEXT(Данные!G67,"ДД.ММ.ГГГГ\г\."))</f>
        <v>№ от 00.01.1900г.</v>
      </c>
      <c r="D74" s="162">
        <f>Данные!H67</f>
        <v>0</v>
      </c>
      <c r="E74" s="169" t="str">
        <f>IF(Данные!I67 = 2, "МГ", "МН")</f>
        <v>МН</v>
      </c>
      <c r="F74" s="162">
        <f>Данные!J67</f>
        <v>0</v>
      </c>
      <c r="G74" s="162">
        <f>Данные!K67</f>
        <v>0</v>
      </c>
      <c r="H74" s="69">
        <f>Данные!L67</f>
        <v>0</v>
      </c>
      <c r="I74" s="162">
        <f>Данные!M67</f>
        <v>0</v>
      </c>
      <c r="J74" s="69">
        <f>Данные!N67</f>
        <v>0</v>
      </c>
      <c r="K74" s="70">
        <f>Данные!O67</f>
        <v>0</v>
      </c>
      <c r="L74" s="140"/>
    </row>
    <row r="75" spans="1:12" x14ac:dyDescent="0.25">
      <c r="A75" s="67">
        <f>Данные!A68</f>
        <v>0</v>
      </c>
      <c r="B75" s="68" t="str">
        <f>CONCATENATE("№",Данные!B68," от ", TEXT(Данные!C68,"ДД.ММ.ГГГГ\г\."))</f>
        <v>№ от 00.01.1900г.</v>
      </c>
      <c r="C75" s="68" t="str">
        <f>CONCATENATE("№",Данные!F68," от ",TEXT(Данные!G68,"ДД.ММ.ГГГГ\г\."))</f>
        <v>№ от 00.01.1900г.</v>
      </c>
      <c r="D75" s="162">
        <f>Данные!H68</f>
        <v>0</v>
      </c>
      <c r="E75" s="169" t="str">
        <f>IF(Данные!I68 = 2, "МГ", "МН")</f>
        <v>МН</v>
      </c>
      <c r="F75" s="162">
        <f>Данные!J68</f>
        <v>0</v>
      </c>
      <c r="G75" s="162">
        <f>Данные!K68</f>
        <v>0</v>
      </c>
      <c r="H75" s="69">
        <f>Данные!L68</f>
        <v>0</v>
      </c>
      <c r="I75" s="162">
        <f>Данные!M68</f>
        <v>0</v>
      </c>
      <c r="J75" s="69">
        <f>Данные!N68</f>
        <v>0</v>
      </c>
      <c r="K75" s="70">
        <f>Данные!O68</f>
        <v>0</v>
      </c>
      <c r="L75" s="140"/>
    </row>
    <row r="76" spans="1:12" x14ac:dyDescent="0.25">
      <c r="A76" s="67">
        <f>Данные!A69</f>
        <v>0</v>
      </c>
      <c r="B76" s="68" t="str">
        <f>CONCATENATE("№",Данные!B69," от ", TEXT(Данные!C69,"ДД.ММ.ГГГГ\г\."))</f>
        <v>№ от 00.01.1900г.</v>
      </c>
      <c r="C76" s="68" t="str">
        <f>CONCATENATE("№",Данные!F69," от ",TEXT(Данные!G69,"ДД.ММ.ГГГГ\г\."))</f>
        <v>№ от 00.01.1900г.</v>
      </c>
      <c r="D76" s="162">
        <f>Данные!H69</f>
        <v>0</v>
      </c>
      <c r="E76" s="169" t="str">
        <f>IF(Данные!I69 = 2, "МГ", "МН")</f>
        <v>МН</v>
      </c>
      <c r="F76" s="162">
        <f>Данные!J69</f>
        <v>0</v>
      </c>
      <c r="G76" s="162">
        <f>Данные!K69</f>
        <v>0</v>
      </c>
      <c r="H76" s="69">
        <f>Данные!L69</f>
        <v>0</v>
      </c>
      <c r="I76" s="162">
        <f>Данные!M69</f>
        <v>0</v>
      </c>
      <c r="J76" s="69">
        <f>Данные!N69</f>
        <v>0</v>
      </c>
      <c r="K76" s="70">
        <f>Данные!O69</f>
        <v>0</v>
      </c>
      <c r="L76" s="140"/>
    </row>
    <row r="77" spans="1:12" x14ac:dyDescent="0.25">
      <c r="A77" s="67">
        <f>Данные!A70</f>
        <v>0</v>
      </c>
      <c r="B77" s="68" t="str">
        <f>CONCATENATE("№",Данные!B70," от ", TEXT(Данные!C70,"ДД.ММ.ГГГГ\г\."))</f>
        <v>№ от 00.01.1900г.</v>
      </c>
      <c r="C77" s="68" t="str">
        <f>CONCATENATE("№",Данные!F70," от ",TEXT(Данные!G70,"ДД.ММ.ГГГГ\г\."))</f>
        <v>№ от 00.01.1900г.</v>
      </c>
      <c r="D77" s="162">
        <f>Данные!H70</f>
        <v>0</v>
      </c>
      <c r="E77" s="169" t="str">
        <f>IF(Данные!I70 = 2, "МГ", "МН")</f>
        <v>МН</v>
      </c>
      <c r="F77" s="162">
        <f>Данные!J70</f>
        <v>0</v>
      </c>
      <c r="G77" s="162">
        <f>Данные!K70</f>
        <v>0</v>
      </c>
      <c r="H77" s="69">
        <f>Данные!L70</f>
        <v>0</v>
      </c>
      <c r="I77" s="162">
        <f>Данные!M70</f>
        <v>0</v>
      </c>
      <c r="J77" s="69">
        <f>Данные!N70</f>
        <v>0</v>
      </c>
      <c r="K77" s="70">
        <f>Данные!O70</f>
        <v>0</v>
      </c>
      <c r="L77" s="140"/>
    </row>
    <row r="78" spans="1:12" x14ac:dyDescent="0.25">
      <c r="A78" s="67">
        <f>Данные!A71</f>
        <v>0</v>
      </c>
      <c r="B78" s="68" t="str">
        <f>CONCATENATE("№",Данные!B71," от ", TEXT(Данные!C71,"ДД.ММ.ГГГГ\г\."))</f>
        <v>№ от 00.01.1900г.</v>
      </c>
      <c r="C78" s="68" t="str">
        <f>CONCATENATE("№",Данные!F71," от ",TEXT(Данные!G71,"ДД.ММ.ГГГГ\г\."))</f>
        <v>№ от 00.01.1900г.</v>
      </c>
      <c r="D78" s="162">
        <f>Данные!H71</f>
        <v>0</v>
      </c>
      <c r="E78" s="169" t="str">
        <f>IF(Данные!I71 = 2, "МГ", "МН")</f>
        <v>МН</v>
      </c>
      <c r="F78" s="162">
        <f>Данные!J71</f>
        <v>0</v>
      </c>
      <c r="G78" s="162">
        <f>Данные!K71</f>
        <v>0</v>
      </c>
      <c r="H78" s="69">
        <f>Данные!L71</f>
        <v>0</v>
      </c>
      <c r="I78" s="162">
        <f>Данные!M71</f>
        <v>0</v>
      </c>
      <c r="J78" s="69">
        <f>Данные!N71</f>
        <v>0</v>
      </c>
      <c r="K78" s="70">
        <f>Данные!O71</f>
        <v>0</v>
      </c>
      <c r="L78" s="140"/>
    </row>
    <row r="79" spans="1:12" x14ac:dyDescent="0.25">
      <c r="A79" s="67">
        <f>Данные!A72</f>
        <v>0</v>
      </c>
      <c r="B79" s="68" t="str">
        <f>CONCATENATE("№",Данные!B72," от ", TEXT(Данные!C72,"ДД.ММ.ГГГГ\г\."))</f>
        <v>№ от 00.01.1900г.</v>
      </c>
      <c r="C79" s="68" t="str">
        <f>CONCATENATE("№",Данные!F72," от ",TEXT(Данные!G72,"ДД.ММ.ГГГГ\г\."))</f>
        <v>№ от 00.01.1900г.</v>
      </c>
      <c r="D79" s="162">
        <f>Данные!H72</f>
        <v>0</v>
      </c>
      <c r="E79" s="169" t="str">
        <f>IF(Данные!I72 = 2, "МГ", "МН")</f>
        <v>МН</v>
      </c>
      <c r="F79" s="162">
        <f>Данные!J72</f>
        <v>0</v>
      </c>
      <c r="G79" s="162">
        <f>Данные!K72</f>
        <v>0</v>
      </c>
      <c r="H79" s="69">
        <f>Данные!L72</f>
        <v>0</v>
      </c>
      <c r="I79" s="162">
        <f>Данные!M72</f>
        <v>0</v>
      </c>
      <c r="J79" s="69">
        <f>Данные!N72</f>
        <v>0</v>
      </c>
      <c r="K79" s="70">
        <f>Данные!O72</f>
        <v>0</v>
      </c>
      <c r="L79" s="140"/>
    </row>
    <row r="80" spans="1:12" x14ac:dyDescent="0.25">
      <c r="A80" s="67">
        <f>Данные!A73</f>
        <v>0</v>
      </c>
      <c r="B80" s="68" t="str">
        <f>CONCATENATE("№",Данные!B73," от ", TEXT(Данные!C73,"ДД.ММ.ГГГГ\г\."))</f>
        <v>№ от 00.01.1900г.</v>
      </c>
      <c r="C80" s="68" t="str">
        <f>CONCATENATE("№",Данные!F73," от ",TEXT(Данные!G73,"ДД.ММ.ГГГГ\г\."))</f>
        <v>№ от 00.01.1900г.</v>
      </c>
      <c r="D80" s="162">
        <f>Данные!H73</f>
        <v>0</v>
      </c>
      <c r="E80" s="169" t="str">
        <f>IF(Данные!I73 = 2, "МГ", "МН")</f>
        <v>МН</v>
      </c>
      <c r="F80" s="162">
        <f>Данные!J73</f>
        <v>0</v>
      </c>
      <c r="G80" s="162">
        <f>Данные!K73</f>
        <v>0</v>
      </c>
      <c r="H80" s="69">
        <f>Данные!L73</f>
        <v>0</v>
      </c>
      <c r="I80" s="162">
        <f>Данные!M73</f>
        <v>0</v>
      </c>
      <c r="J80" s="69">
        <f>Данные!N73</f>
        <v>0</v>
      </c>
      <c r="K80" s="70">
        <f>Данные!O73</f>
        <v>0</v>
      </c>
      <c r="L80" s="140"/>
    </row>
    <row r="81" spans="1:12" x14ac:dyDescent="0.25">
      <c r="A81" s="67">
        <f>Данные!A74</f>
        <v>0</v>
      </c>
      <c r="B81" s="68" t="str">
        <f>CONCATENATE("№",Данные!B74," от ", TEXT(Данные!C74,"ДД.ММ.ГГГГ\г\."))</f>
        <v>№ от 00.01.1900г.</v>
      </c>
      <c r="C81" s="68" t="str">
        <f>CONCATENATE("№",Данные!F74," от ",TEXT(Данные!G74,"ДД.ММ.ГГГГ\г\."))</f>
        <v>№ от 00.01.1900г.</v>
      </c>
      <c r="D81" s="162">
        <f>Данные!H74</f>
        <v>0</v>
      </c>
      <c r="E81" s="169" t="str">
        <f>IF(Данные!I74 = 2, "МГ", "МН")</f>
        <v>МН</v>
      </c>
      <c r="F81" s="162">
        <f>Данные!J74</f>
        <v>0</v>
      </c>
      <c r="G81" s="162">
        <f>Данные!K74</f>
        <v>0</v>
      </c>
      <c r="H81" s="69">
        <f>Данные!L74</f>
        <v>0</v>
      </c>
      <c r="I81" s="162">
        <f>Данные!M74</f>
        <v>0</v>
      </c>
      <c r="J81" s="69">
        <f>Данные!N74</f>
        <v>0</v>
      </c>
      <c r="K81" s="70">
        <f>Данные!O74</f>
        <v>0</v>
      </c>
      <c r="L81" s="140"/>
    </row>
    <row r="82" spans="1:12" x14ac:dyDescent="0.25">
      <c r="A82" s="67">
        <f>Данные!A75</f>
        <v>0</v>
      </c>
      <c r="B82" s="68" t="str">
        <f>CONCATENATE("№",Данные!B75," от ", TEXT(Данные!C75,"ДД.ММ.ГГГГ\г\."))</f>
        <v>№ от 00.01.1900г.</v>
      </c>
      <c r="C82" s="68" t="str">
        <f>CONCATENATE("№",Данные!F75," от ",TEXT(Данные!G75,"ДД.ММ.ГГГГ\г\."))</f>
        <v>№ от 00.01.1900г.</v>
      </c>
      <c r="D82" s="162">
        <f>Данные!H75</f>
        <v>0</v>
      </c>
      <c r="E82" s="169" t="str">
        <f>IF(Данные!I75 = 2, "МГ", "МН")</f>
        <v>МН</v>
      </c>
      <c r="F82" s="162">
        <f>Данные!J75</f>
        <v>0</v>
      </c>
      <c r="G82" s="162">
        <f>Данные!K75</f>
        <v>0</v>
      </c>
      <c r="H82" s="69">
        <f>Данные!L75</f>
        <v>0</v>
      </c>
      <c r="I82" s="162">
        <f>Данные!M75</f>
        <v>0</v>
      </c>
      <c r="J82" s="69">
        <f>Данные!N75</f>
        <v>0</v>
      </c>
      <c r="K82" s="70">
        <f>Данные!O75</f>
        <v>0</v>
      </c>
      <c r="L82" s="140"/>
    </row>
    <row r="83" spans="1:12" x14ac:dyDescent="0.25">
      <c r="A83" s="67">
        <f>Данные!A76</f>
        <v>0</v>
      </c>
      <c r="B83" s="68" t="str">
        <f>CONCATENATE("№",Данные!B76," от ", TEXT(Данные!C76,"ДД.ММ.ГГГГ\г\."))</f>
        <v>№ от 00.01.1900г.</v>
      </c>
      <c r="C83" s="68" t="str">
        <f>CONCATENATE("№",Данные!F76," от ",TEXT(Данные!G76,"ДД.ММ.ГГГГ\г\."))</f>
        <v>№ от 00.01.1900г.</v>
      </c>
      <c r="D83" s="162">
        <f>Данные!H76</f>
        <v>0</v>
      </c>
      <c r="E83" s="169" t="str">
        <f>IF(Данные!I76 = 2, "МГ", "МН")</f>
        <v>МН</v>
      </c>
      <c r="F83" s="162">
        <f>Данные!J76</f>
        <v>0</v>
      </c>
      <c r="G83" s="162">
        <f>Данные!K76</f>
        <v>0</v>
      </c>
      <c r="H83" s="69">
        <f>Данные!L76</f>
        <v>0</v>
      </c>
      <c r="I83" s="162">
        <f>Данные!M76</f>
        <v>0</v>
      </c>
      <c r="J83" s="69">
        <f>Данные!N76</f>
        <v>0</v>
      </c>
      <c r="K83" s="70">
        <f>Данные!O76</f>
        <v>0</v>
      </c>
      <c r="L83" s="140"/>
    </row>
    <row r="84" spans="1:12" x14ac:dyDescent="0.25">
      <c r="A84" s="67">
        <f>Данные!A77</f>
        <v>0</v>
      </c>
      <c r="B84" s="68" t="str">
        <f>CONCATENATE("№",Данные!B77," от ", TEXT(Данные!C77,"ДД.ММ.ГГГГ\г\."))</f>
        <v>№ от 00.01.1900г.</v>
      </c>
      <c r="C84" s="68" t="str">
        <f>CONCATENATE("№",Данные!F77," от ",TEXT(Данные!G77,"ДД.ММ.ГГГГ\г\."))</f>
        <v>№ от 00.01.1900г.</v>
      </c>
      <c r="D84" s="162">
        <f>Данные!H77</f>
        <v>0</v>
      </c>
      <c r="E84" s="169" t="str">
        <f>IF(Данные!I77 = 2, "МГ", "МН")</f>
        <v>МН</v>
      </c>
      <c r="F84" s="162">
        <f>Данные!J77</f>
        <v>0</v>
      </c>
      <c r="G84" s="162">
        <f>Данные!K77</f>
        <v>0</v>
      </c>
      <c r="H84" s="69">
        <f>Данные!L77</f>
        <v>0</v>
      </c>
      <c r="I84" s="162">
        <f>Данные!M77</f>
        <v>0</v>
      </c>
      <c r="J84" s="69">
        <f>Данные!N77</f>
        <v>0</v>
      </c>
      <c r="K84" s="70">
        <f>Данные!O77</f>
        <v>0</v>
      </c>
      <c r="L84" s="140"/>
    </row>
    <row r="85" spans="1:12" x14ac:dyDescent="0.25">
      <c r="A85" s="67">
        <f>Данные!A78</f>
        <v>0</v>
      </c>
      <c r="B85" s="68" t="str">
        <f>CONCATENATE("№",Данные!B78," от ", TEXT(Данные!C78,"ДД.ММ.ГГГГ\г\."))</f>
        <v>№ от 00.01.1900г.</v>
      </c>
      <c r="C85" s="68" t="str">
        <f>CONCATENATE("№",Данные!F78," от ",TEXT(Данные!G78,"ДД.ММ.ГГГГ\г\."))</f>
        <v>№ от 00.01.1900г.</v>
      </c>
      <c r="D85" s="162">
        <f>Данные!H78</f>
        <v>0</v>
      </c>
      <c r="E85" s="169" t="str">
        <f>IF(Данные!I78 = 2, "МГ", "МН")</f>
        <v>МН</v>
      </c>
      <c r="F85" s="162">
        <f>Данные!J78</f>
        <v>0</v>
      </c>
      <c r="G85" s="162">
        <f>Данные!K78</f>
        <v>0</v>
      </c>
      <c r="H85" s="69">
        <f>Данные!L78</f>
        <v>0</v>
      </c>
      <c r="I85" s="162">
        <f>Данные!M78</f>
        <v>0</v>
      </c>
      <c r="J85" s="69">
        <f>Данные!N78</f>
        <v>0</v>
      </c>
      <c r="K85" s="70">
        <f>Данные!O78</f>
        <v>0</v>
      </c>
      <c r="L85" s="140"/>
    </row>
    <row r="86" spans="1:12" x14ac:dyDescent="0.25">
      <c r="A86" s="67">
        <f>Данные!A79</f>
        <v>0</v>
      </c>
      <c r="B86" s="68" t="str">
        <f>CONCATENATE("№",Данные!B79," от ", TEXT(Данные!C79,"ДД.ММ.ГГГГ\г\."))</f>
        <v>№ от 00.01.1900г.</v>
      </c>
      <c r="C86" s="68" t="str">
        <f>CONCATENATE("№",Данные!F79," от ",TEXT(Данные!G79,"ДД.ММ.ГГГГ\г\."))</f>
        <v>№ от 00.01.1900г.</v>
      </c>
      <c r="D86" s="162">
        <f>Данные!H79</f>
        <v>0</v>
      </c>
      <c r="E86" s="169" t="str">
        <f>IF(Данные!I79 = 2, "МГ", "МН")</f>
        <v>МН</v>
      </c>
      <c r="F86" s="162">
        <f>Данные!J79</f>
        <v>0</v>
      </c>
      <c r="G86" s="162">
        <f>Данные!K79</f>
        <v>0</v>
      </c>
      <c r="H86" s="69">
        <f>Данные!L79</f>
        <v>0</v>
      </c>
      <c r="I86" s="162">
        <f>Данные!M79</f>
        <v>0</v>
      </c>
      <c r="J86" s="69">
        <f>Данные!N79</f>
        <v>0</v>
      </c>
      <c r="K86" s="70">
        <f>Данные!O79</f>
        <v>0</v>
      </c>
      <c r="L86" s="140"/>
    </row>
    <row r="87" spans="1:12" x14ac:dyDescent="0.25">
      <c r="A87" s="67">
        <f>Данные!A80</f>
        <v>0</v>
      </c>
      <c r="B87" s="68" t="str">
        <f>CONCATENATE("№",Данные!B80," от ", TEXT(Данные!C80,"ДД.ММ.ГГГГ\г\."))</f>
        <v>№ от 00.01.1900г.</v>
      </c>
      <c r="C87" s="68" t="str">
        <f>CONCATENATE("№",Данные!F80," от ",TEXT(Данные!G80,"ДД.ММ.ГГГГ\г\."))</f>
        <v>№ от 00.01.1900г.</v>
      </c>
      <c r="D87" s="162">
        <f>Данные!H80</f>
        <v>0</v>
      </c>
      <c r="E87" s="169" t="str">
        <f>IF(Данные!I80 = 2, "МГ", "МН")</f>
        <v>МН</v>
      </c>
      <c r="F87" s="162">
        <f>Данные!J80</f>
        <v>0</v>
      </c>
      <c r="G87" s="162">
        <f>Данные!K80</f>
        <v>0</v>
      </c>
      <c r="H87" s="69">
        <f>Данные!L80</f>
        <v>0</v>
      </c>
      <c r="I87" s="162">
        <f>Данные!M80</f>
        <v>0</v>
      </c>
      <c r="J87" s="69">
        <f>Данные!N80</f>
        <v>0</v>
      </c>
      <c r="K87" s="70">
        <f>Данные!O80</f>
        <v>0</v>
      </c>
      <c r="L87" s="140"/>
    </row>
    <row r="88" spans="1:12" x14ac:dyDescent="0.25">
      <c r="A88" s="67">
        <f>Данные!A81</f>
        <v>0</v>
      </c>
      <c r="B88" s="68" t="str">
        <f>CONCATENATE("№",Данные!B81," от ", TEXT(Данные!C81,"ДД.ММ.ГГГГ\г\."))</f>
        <v>№ от 00.01.1900г.</v>
      </c>
      <c r="C88" s="68" t="str">
        <f>CONCATENATE("№",Данные!F81," от ",TEXT(Данные!G81,"ДД.ММ.ГГГГ\г\."))</f>
        <v>№ от 00.01.1900г.</v>
      </c>
      <c r="D88" s="162">
        <f>Данные!H81</f>
        <v>0</v>
      </c>
      <c r="E88" s="169" t="str">
        <f>IF(Данные!I81 = 2, "МГ", "МН")</f>
        <v>МН</v>
      </c>
      <c r="F88" s="162">
        <f>Данные!J81</f>
        <v>0</v>
      </c>
      <c r="G88" s="162">
        <f>Данные!K81</f>
        <v>0</v>
      </c>
      <c r="H88" s="69">
        <f>Данные!L81</f>
        <v>0</v>
      </c>
      <c r="I88" s="162">
        <f>Данные!M81</f>
        <v>0</v>
      </c>
      <c r="J88" s="69">
        <f>Данные!N81</f>
        <v>0</v>
      </c>
      <c r="K88" s="70">
        <f>Данные!O81</f>
        <v>0</v>
      </c>
      <c r="L88" s="140"/>
    </row>
    <row r="89" spans="1:12" x14ac:dyDescent="0.25">
      <c r="A89" s="67">
        <f>Данные!A82</f>
        <v>0</v>
      </c>
      <c r="B89" s="68" t="str">
        <f>CONCATENATE("№",Данные!B82," от ", TEXT(Данные!C82,"ДД.ММ.ГГГГ\г\."))</f>
        <v>№ от 00.01.1900г.</v>
      </c>
      <c r="C89" s="68" t="str">
        <f>CONCATENATE("№",Данные!F82," от ",TEXT(Данные!G82,"ДД.ММ.ГГГГ\г\."))</f>
        <v>№ от 00.01.1900г.</v>
      </c>
      <c r="D89" s="162">
        <f>Данные!H82</f>
        <v>0</v>
      </c>
      <c r="E89" s="169" t="str">
        <f>IF(Данные!I82 = 2, "МГ", "МН")</f>
        <v>МН</v>
      </c>
      <c r="F89" s="162">
        <f>Данные!J82</f>
        <v>0</v>
      </c>
      <c r="G89" s="162">
        <f>Данные!K82</f>
        <v>0</v>
      </c>
      <c r="H89" s="69">
        <f>Данные!L82</f>
        <v>0</v>
      </c>
      <c r="I89" s="162">
        <f>Данные!M82</f>
        <v>0</v>
      </c>
      <c r="J89" s="69">
        <f>Данные!N82</f>
        <v>0</v>
      </c>
      <c r="K89" s="70">
        <f>Данные!O82</f>
        <v>0</v>
      </c>
      <c r="L89" s="140"/>
    </row>
    <row r="90" spans="1:12" x14ac:dyDescent="0.25">
      <c r="A90" s="67">
        <f>Данные!A83</f>
        <v>0</v>
      </c>
      <c r="B90" s="68" t="str">
        <f>CONCATENATE("№",Данные!B83," от ", TEXT(Данные!C83,"ДД.ММ.ГГГГ\г\."))</f>
        <v>№ от 00.01.1900г.</v>
      </c>
      <c r="C90" s="68" t="str">
        <f>CONCATENATE("№",Данные!F83," от ",TEXT(Данные!G83,"ДД.ММ.ГГГГ\г\."))</f>
        <v>№ от 00.01.1900г.</v>
      </c>
      <c r="D90" s="162">
        <f>Данные!H83</f>
        <v>0</v>
      </c>
      <c r="E90" s="169" t="str">
        <f>IF(Данные!I83 = 2, "МГ", "МН")</f>
        <v>МН</v>
      </c>
      <c r="F90" s="162">
        <f>Данные!J83</f>
        <v>0</v>
      </c>
      <c r="G90" s="162">
        <f>Данные!K83</f>
        <v>0</v>
      </c>
      <c r="H90" s="69">
        <f>Данные!L83</f>
        <v>0</v>
      </c>
      <c r="I90" s="162">
        <f>Данные!M83</f>
        <v>0</v>
      </c>
      <c r="J90" s="69">
        <f>Данные!N83</f>
        <v>0</v>
      </c>
      <c r="K90" s="70">
        <f>Данные!O83</f>
        <v>0</v>
      </c>
      <c r="L90" s="140"/>
    </row>
    <row r="91" spans="1:12" x14ac:dyDescent="0.25">
      <c r="A91" s="67">
        <f>Данные!A84</f>
        <v>0</v>
      </c>
      <c r="B91" s="68" t="str">
        <f>CONCATENATE("№",Данные!B84," от ", TEXT(Данные!C84,"ДД.ММ.ГГГГ\г\."))</f>
        <v>№ от 00.01.1900г.</v>
      </c>
      <c r="C91" s="68" t="str">
        <f>CONCATENATE("№",Данные!F84," от ",TEXT(Данные!G84,"ДД.ММ.ГГГГ\г\."))</f>
        <v>№ от 00.01.1900г.</v>
      </c>
      <c r="D91" s="162">
        <f>Данные!H84</f>
        <v>0</v>
      </c>
      <c r="E91" s="169" t="str">
        <f>IF(Данные!I84 = 2, "МГ", "МН")</f>
        <v>МН</v>
      </c>
      <c r="F91" s="162">
        <f>Данные!J84</f>
        <v>0</v>
      </c>
      <c r="G91" s="162">
        <f>Данные!K84</f>
        <v>0</v>
      </c>
      <c r="H91" s="69">
        <f>Данные!L84</f>
        <v>0</v>
      </c>
      <c r="I91" s="162">
        <f>Данные!M84</f>
        <v>0</v>
      </c>
      <c r="J91" s="69">
        <f>Данные!N84</f>
        <v>0</v>
      </c>
      <c r="K91" s="70">
        <f>Данные!O84</f>
        <v>0</v>
      </c>
      <c r="L91" s="140"/>
    </row>
    <row r="92" spans="1:12" x14ac:dyDescent="0.25">
      <c r="A92" s="67">
        <f>Данные!A85</f>
        <v>0</v>
      </c>
      <c r="B92" s="68" t="str">
        <f>CONCATENATE("№",Данные!B85," от ", TEXT(Данные!C85,"ДД.ММ.ГГГГ\г\."))</f>
        <v>№ от 00.01.1900г.</v>
      </c>
      <c r="C92" s="68" t="str">
        <f>CONCATENATE("№",Данные!F85," от ",TEXT(Данные!G85,"ДД.ММ.ГГГГ\г\."))</f>
        <v>№ от 00.01.1900г.</v>
      </c>
      <c r="D92" s="162">
        <f>Данные!H85</f>
        <v>0</v>
      </c>
      <c r="E92" s="169" t="str">
        <f>IF(Данные!I85 = 2, "МГ", "МН")</f>
        <v>МН</v>
      </c>
      <c r="F92" s="162">
        <f>Данные!J85</f>
        <v>0</v>
      </c>
      <c r="G92" s="162">
        <f>Данные!K85</f>
        <v>0</v>
      </c>
      <c r="H92" s="69">
        <f>Данные!L85</f>
        <v>0</v>
      </c>
      <c r="I92" s="162">
        <f>Данные!M85</f>
        <v>0</v>
      </c>
      <c r="J92" s="69">
        <f>Данные!N85</f>
        <v>0</v>
      </c>
      <c r="K92" s="70">
        <f>Данные!O85</f>
        <v>0</v>
      </c>
      <c r="L92" s="140"/>
    </row>
    <row r="93" spans="1:12" x14ac:dyDescent="0.25">
      <c r="A93" s="67">
        <f>Данные!A86</f>
        <v>0</v>
      </c>
      <c r="B93" s="68" t="str">
        <f>CONCATENATE("№",Данные!B86," от ", TEXT(Данные!C86,"ДД.ММ.ГГГГ\г\."))</f>
        <v>№ от 00.01.1900г.</v>
      </c>
      <c r="C93" s="68" t="str">
        <f>CONCATENATE("№",Данные!F86," от ",TEXT(Данные!G86,"ДД.ММ.ГГГГ\г\."))</f>
        <v>№ от 00.01.1900г.</v>
      </c>
      <c r="D93" s="162">
        <f>Данные!H86</f>
        <v>0</v>
      </c>
      <c r="E93" s="169" t="str">
        <f>IF(Данные!I86 = 2, "МГ", "МН")</f>
        <v>МН</v>
      </c>
      <c r="F93" s="162">
        <f>Данные!J86</f>
        <v>0</v>
      </c>
      <c r="G93" s="162">
        <f>Данные!K86</f>
        <v>0</v>
      </c>
      <c r="H93" s="69">
        <f>Данные!L86</f>
        <v>0</v>
      </c>
      <c r="I93" s="162">
        <f>Данные!M86</f>
        <v>0</v>
      </c>
      <c r="J93" s="69">
        <f>Данные!N86</f>
        <v>0</v>
      </c>
      <c r="K93" s="70">
        <f>Данные!O86</f>
        <v>0</v>
      </c>
      <c r="L93" s="140"/>
    </row>
    <row r="94" spans="1:12" x14ac:dyDescent="0.25">
      <c r="A94" s="67">
        <f>Данные!A87</f>
        <v>0</v>
      </c>
      <c r="B94" s="68" t="str">
        <f>CONCATENATE("№",Данные!B87," от ", TEXT(Данные!C87,"ДД.ММ.ГГГГ\г\."))</f>
        <v>№ от 00.01.1900г.</v>
      </c>
      <c r="C94" s="68" t="str">
        <f>CONCATENATE("№",Данные!F87," от ",TEXT(Данные!G87,"ДД.ММ.ГГГГ\г\."))</f>
        <v>№ от 00.01.1900г.</v>
      </c>
      <c r="D94" s="162">
        <f>Данные!H87</f>
        <v>0</v>
      </c>
      <c r="E94" s="169" t="str">
        <f>IF(Данные!I87 = 2, "МГ", "МН")</f>
        <v>МН</v>
      </c>
      <c r="F94" s="162">
        <f>Данные!J87</f>
        <v>0</v>
      </c>
      <c r="G94" s="162">
        <f>Данные!K87</f>
        <v>0</v>
      </c>
      <c r="H94" s="69">
        <f>Данные!L87</f>
        <v>0</v>
      </c>
      <c r="I94" s="162">
        <f>Данные!M87</f>
        <v>0</v>
      </c>
      <c r="J94" s="69">
        <f>Данные!N87</f>
        <v>0</v>
      </c>
      <c r="K94" s="70">
        <f>Данные!O87</f>
        <v>0</v>
      </c>
      <c r="L94" s="140"/>
    </row>
    <row r="95" spans="1:12" x14ac:dyDescent="0.25">
      <c r="A95" s="67">
        <f>Данные!A88</f>
        <v>0</v>
      </c>
      <c r="B95" s="68" t="str">
        <f>CONCATENATE("№",Данные!B88," от ", TEXT(Данные!C88,"ДД.ММ.ГГГГ\г\."))</f>
        <v>№ от 00.01.1900г.</v>
      </c>
      <c r="C95" s="68" t="str">
        <f>CONCATENATE("№",Данные!F88," от ",TEXT(Данные!G88,"ДД.ММ.ГГГГ\г\."))</f>
        <v>№ от 00.01.1900г.</v>
      </c>
      <c r="D95" s="162">
        <f>Данные!H88</f>
        <v>0</v>
      </c>
      <c r="E95" s="169" t="str">
        <f>IF(Данные!I88 = 2, "МГ", "МН")</f>
        <v>МН</v>
      </c>
      <c r="F95" s="162">
        <f>Данные!J88</f>
        <v>0</v>
      </c>
      <c r="G95" s="162">
        <f>Данные!K88</f>
        <v>0</v>
      </c>
      <c r="H95" s="69">
        <f>Данные!L88</f>
        <v>0</v>
      </c>
      <c r="I95" s="162">
        <f>Данные!M88</f>
        <v>0</v>
      </c>
      <c r="J95" s="69">
        <f>Данные!N88</f>
        <v>0</v>
      </c>
      <c r="K95" s="70">
        <f>Данные!O88</f>
        <v>0</v>
      </c>
      <c r="L95" s="140"/>
    </row>
    <row r="96" spans="1:12" x14ac:dyDescent="0.25">
      <c r="A96" s="67">
        <f>Данные!A89</f>
        <v>0</v>
      </c>
      <c r="B96" s="68" t="str">
        <f>CONCATENATE("№",Данные!B89," от ", TEXT(Данные!C89,"ДД.ММ.ГГГГ\г\."))</f>
        <v>№ от 00.01.1900г.</v>
      </c>
      <c r="C96" s="68" t="str">
        <f>CONCATENATE("№",Данные!F89," от ",TEXT(Данные!G89,"ДД.ММ.ГГГГ\г\."))</f>
        <v>№ от 00.01.1900г.</v>
      </c>
      <c r="D96" s="162">
        <f>Данные!H89</f>
        <v>0</v>
      </c>
      <c r="E96" s="169" t="str">
        <f>IF(Данные!I89 = 2, "МГ", "МН")</f>
        <v>МН</v>
      </c>
      <c r="F96" s="162">
        <f>Данные!J89</f>
        <v>0</v>
      </c>
      <c r="G96" s="162">
        <f>Данные!K89</f>
        <v>0</v>
      </c>
      <c r="H96" s="69">
        <f>Данные!L89</f>
        <v>0</v>
      </c>
      <c r="I96" s="162">
        <f>Данные!M89</f>
        <v>0</v>
      </c>
      <c r="J96" s="69">
        <f>Данные!N89</f>
        <v>0</v>
      </c>
      <c r="K96" s="70">
        <f>Данные!O89</f>
        <v>0</v>
      </c>
      <c r="L96" s="140"/>
    </row>
    <row r="97" spans="1:13" x14ac:dyDescent="0.25">
      <c r="A97" s="67">
        <f>Данные!A90</f>
        <v>0</v>
      </c>
      <c r="B97" s="68" t="str">
        <f>CONCATENATE("№",Данные!B90," от ", TEXT(Данные!C90,"ДД.ММ.ГГГГ\г\."))</f>
        <v>№ от 00.01.1900г.</v>
      </c>
      <c r="C97" s="68" t="str">
        <f>CONCATENATE("№",Данные!F90," от ",TEXT(Данные!G90,"ДД.ММ.ГГГГ\г\."))</f>
        <v>№ от 00.01.1900г.</v>
      </c>
      <c r="D97" s="162">
        <f>Данные!H90</f>
        <v>0</v>
      </c>
      <c r="E97" s="169" t="str">
        <f>IF(Данные!I90 = 2, "МГ", "МН")</f>
        <v>МН</v>
      </c>
      <c r="F97" s="162">
        <f>Данные!J90</f>
        <v>0</v>
      </c>
      <c r="G97" s="162">
        <f>Данные!K90</f>
        <v>0</v>
      </c>
      <c r="H97" s="69">
        <f>Данные!L90</f>
        <v>0</v>
      </c>
      <c r="I97" s="162">
        <f>Данные!M90</f>
        <v>0</v>
      </c>
      <c r="J97" s="69">
        <f>Данные!N90</f>
        <v>0</v>
      </c>
      <c r="K97" s="70">
        <f>Данные!O90</f>
        <v>0</v>
      </c>
      <c r="L97" s="140"/>
    </row>
    <row r="98" spans="1:13" x14ac:dyDescent="0.25">
      <c r="A98" s="67">
        <f>Данные!A91</f>
        <v>0</v>
      </c>
      <c r="B98" s="68" t="str">
        <f>CONCATENATE("№",Данные!B91," от ", TEXT(Данные!C91,"ДД.ММ.ГГГГ\г\."))</f>
        <v>№ от 00.01.1900г.</v>
      </c>
      <c r="C98" s="68" t="str">
        <f>CONCATENATE("№",Данные!F91," от ",TEXT(Данные!G91,"ДД.ММ.ГГГГ\г\."))</f>
        <v>№ от 00.01.1900г.</v>
      </c>
      <c r="D98" s="162">
        <f>Данные!H91</f>
        <v>0</v>
      </c>
      <c r="E98" s="169" t="str">
        <f>IF(Данные!I91 = 2, "МГ", "МН")</f>
        <v>МН</v>
      </c>
      <c r="F98" s="162">
        <f>Данные!J91</f>
        <v>0</v>
      </c>
      <c r="G98" s="162">
        <f>Данные!K91</f>
        <v>0</v>
      </c>
      <c r="H98" s="69">
        <f>Данные!L91</f>
        <v>0</v>
      </c>
      <c r="I98" s="162">
        <f>Данные!M91</f>
        <v>0</v>
      </c>
      <c r="J98" s="69">
        <f>Данные!N91</f>
        <v>0</v>
      </c>
      <c r="K98" s="70">
        <f>Данные!O91</f>
        <v>0</v>
      </c>
      <c r="L98" s="140"/>
    </row>
    <row r="99" spans="1:13" x14ac:dyDescent="0.25">
      <c r="A99" s="67">
        <f>Данные!A92</f>
        <v>0</v>
      </c>
      <c r="B99" s="68" t="str">
        <f>CONCATENATE("№",Данные!B92," от ", TEXT(Данные!C92,"ДД.ММ.ГГГГ\г\."))</f>
        <v>№ от 00.01.1900г.</v>
      </c>
      <c r="C99" s="68" t="str">
        <f>CONCATENATE("№",Данные!F92," от ",TEXT(Данные!G92,"ДД.ММ.ГГГГ\г\."))</f>
        <v>№ от 00.01.1900г.</v>
      </c>
      <c r="D99" s="162">
        <f>Данные!H92</f>
        <v>0</v>
      </c>
      <c r="E99" s="169" t="str">
        <f>IF(Данные!I92 = 2, "МГ", "МН")</f>
        <v>МН</v>
      </c>
      <c r="F99" s="162">
        <f>Данные!J92</f>
        <v>0</v>
      </c>
      <c r="G99" s="162">
        <f>Данные!K92</f>
        <v>0</v>
      </c>
      <c r="H99" s="69">
        <f>Данные!L92</f>
        <v>0</v>
      </c>
      <c r="I99" s="162">
        <f>Данные!M92</f>
        <v>0</v>
      </c>
      <c r="J99" s="69">
        <f>Данные!N92</f>
        <v>0</v>
      </c>
      <c r="K99" s="70">
        <f>Данные!O92</f>
        <v>0</v>
      </c>
      <c r="L99" s="140"/>
    </row>
    <row r="100" spans="1:13" x14ac:dyDescent="0.25">
      <c r="A100" s="67">
        <f>Данные!A93</f>
        <v>0</v>
      </c>
      <c r="B100" s="68" t="str">
        <f>CONCATENATE("№",Данные!B93," от ", TEXT(Данные!C93,"ДД.ММ.ГГГГ\г\."))</f>
        <v>№ от 00.01.1900г.</v>
      </c>
      <c r="C100" s="68" t="str">
        <f>CONCATENATE("№",Данные!F93," от ",TEXT(Данные!G93,"ДД.ММ.ГГГГ\г\."))</f>
        <v>№ от 00.01.1900г.</v>
      </c>
      <c r="D100" s="162">
        <f>Данные!H93</f>
        <v>0</v>
      </c>
      <c r="E100" s="169" t="str">
        <f>IF(Данные!I93 = 2, "МГ", "МН")</f>
        <v>МН</v>
      </c>
      <c r="F100" s="162">
        <f>Данные!J93</f>
        <v>0</v>
      </c>
      <c r="G100" s="162">
        <f>Данные!K93</f>
        <v>0</v>
      </c>
      <c r="H100" s="69">
        <f>Данные!L93</f>
        <v>0</v>
      </c>
      <c r="I100" s="162">
        <f>Данные!M93</f>
        <v>0</v>
      </c>
      <c r="J100" s="69">
        <f>Данные!N93</f>
        <v>0</v>
      </c>
      <c r="K100" s="70">
        <f>Данные!O93</f>
        <v>0</v>
      </c>
      <c r="L100" s="140"/>
    </row>
    <row r="101" spans="1:13" x14ac:dyDescent="0.25">
      <c r="A101" s="67">
        <f>Данные!A94</f>
        <v>0</v>
      </c>
      <c r="B101" s="68" t="str">
        <f>CONCATENATE("№",Данные!B94," от ", TEXT(Данные!C94,"ДД.ММ.ГГГГ\г\."))</f>
        <v>№ от 00.01.1900г.</v>
      </c>
      <c r="C101" s="68" t="str">
        <f>CONCATENATE("№",Данные!F94," от ",TEXT(Данные!G94,"ДД.ММ.ГГГГ\г\."))</f>
        <v>№ от 00.01.1900г.</v>
      </c>
      <c r="D101" s="162">
        <f>Данные!H94</f>
        <v>0</v>
      </c>
      <c r="E101" s="169" t="str">
        <f>IF(Данные!I94 = 2, "МГ", "МН")</f>
        <v>МН</v>
      </c>
      <c r="F101" s="162">
        <f>Данные!J94</f>
        <v>0</v>
      </c>
      <c r="G101" s="162">
        <f>Данные!K94</f>
        <v>0</v>
      </c>
      <c r="H101" s="69">
        <f>Данные!L94</f>
        <v>0</v>
      </c>
      <c r="I101" s="162">
        <f>Данные!M94</f>
        <v>0</v>
      </c>
      <c r="J101" s="69">
        <f>Данные!N94</f>
        <v>0</v>
      </c>
      <c r="K101" s="70">
        <f>Данные!O94</f>
        <v>0</v>
      </c>
      <c r="L101" s="140"/>
    </row>
    <row r="102" spans="1:13" x14ac:dyDescent="0.25">
      <c r="A102" s="67">
        <f>Данные!A95</f>
        <v>0</v>
      </c>
      <c r="B102" s="68" t="str">
        <f>CONCATENATE("№",Данные!B95," от ", TEXT(Данные!C95,"ДД.ММ.ГГГГ\г\."))</f>
        <v>№ от 00.01.1900г.</v>
      </c>
      <c r="C102" s="68" t="str">
        <f>CONCATENATE("№",Данные!F95," от ",TEXT(Данные!G95,"ДД.ММ.ГГГГ\г\."))</f>
        <v>№ от 00.01.1900г.</v>
      </c>
      <c r="D102" s="162">
        <f>Данные!H95</f>
        <v>0</v>
      </c>
      <c r="E102" s="169" t="str">
        <f>IF(Данные!I95 = 2, "МГ", "МН")</f>
        <v>МН</v>
      </c>
      <c r="F102" s="162">
        <f>Данные!J95</f>
        <v>0</v>
      </c>
      <c r="G102" s="162">
        <f>Данные!K95</f>
        <v>0</v>
      </c>
      <c r="H102" s="69">
        <f>Данные!L95</f>
        <v>0</v>
      </c>
      <c r="I102" s="162">
        <f>Данные!M95</f>
        <v>0</v>
      </c>
      <c r="J102" s="69">
        <f>Данные!N95</f>
        <v>0</v>
      </c>
      <c r="K102" s="70">
        <f>Данные!O95</f>
        <v>0</v>
      </c>
      <c r="L102" s="140"/>
    </row>
    <row r="103" spans="1:13" x14ac:dyDescent="0.25">
      <c r="A103" s="67">
        <f>Данные!A96</f>
        <v>0</v>
      </c>
      <c r="B103" s="68" t="str">
        <f>CONCATENATE("№",Данные!B96," от ", TEXT(Данные!C96,"ДД.ММ.ГГГГ\г\."))</f>
        <v>№ от 00.01.1900г.</v>
      </c>
      <c r="C103" s="68" t="str">
        <f>CONCATENATE("№",Данные!F96," от ",TEXT(Данные!G96,"ДД.ММ.ГГГГ\г\."))</f>
        <v>№ от 00.01.1900г.</v>
      </c>
      <c r="D103" s="162">
        <f>Данные!H96</f>
        <v>0</v>
      </c>
      <c r="E103" s="169" t="str">
        <f>IF(Данные!I96 = 2, "МГ", "МН")</f>
        <v>МН</v>
      </c>
      <c r="F103" s="162">
        <f>Данные!J96</f>
        <v>0</v>
      </c>
      <c r="G103" s="162">
        <f>Данные!K96</f>
        <v>0</v>
      </c>
      <c r="H103" s="69">
        <f>Данные!L96</f>
        <v>0</v>
      </c>
      <c r="I103" s="162">
        <f>Данные!M96</f>
        <v>0</v>
      </c>
      <c r="J103" s="69">
        <f>Данные!N96</f>
        <v>0</v>
      </c>
      <c r="K103" s="70">
        <f>Данные!O96</f>
        <v>0</v>
      </c>
      <c r="L103" s="140"/>
    </row>
    <row r="104" spans="1:13" x14ac:dyDescent="0.25">
      <c r="A104" s="67">
        <f>Данные!A97</f>
        <v>0</v>
      </c>
      <c r="B104" s="68" t="str">
        <f>CONCATENATE("№",Данные!B97," от ", TEXT(Данные!C97,"ДД.ММ.ГГГГ\г\."))</f>
        <v>№ от 00.01.1900г.</v>
      </c>
      <c r="C104" s="68" t="str">
        <f>CONCATENATE("№",Данные!F97," от ",TEXT(Данные!G97,"ДД.ММ.ГГГГ\г\."))</f>
        <v>№ от 00.01.1900г.</v>
      </c>
      <c r="D104" s="162">
        <f>Данные!H97</f>
        <v>0</v>
      </c>
      <c r="E104" s="169" t="str">
        <f>IF(Данные!I97 = 2, "МГ", "МН")</f>
        <v>МН</v>
      </c>
      <c r="F104" s="162">
        <f>Данные!J97</f>
        <v>0</v>
      </c>
      <c r="G104" s="162">
        <f>Данные!K97</f>
        <v>0</v>
      </c>
      <c r="H104" s="69">
        <f>Данные!L97</f>
        <v>0</v>
      </c>
      <c r="I104" s="162">
        <f>Данные!M97</f>
        <v>0</v>
      </c>
      <c r="J104" s="69">
        <f>Данные!N97</f>
        <v>0</v>
      </c>
      <c r="K104" s="70">
        <f>Данные!O97</f>
        <v>0</v>
      </c>
      <c r="L104" s="140"/>
    </row>
    <row r="105" spans="1:13" x14ac:dyDescent="0.25">
      <c r="A105" s="67">
        <f>Данные!A98</f>
        <v>0</v>
      </c>
      <c r="B105" s="68" t="str">
        <f>CONCATENATE("№",Данные!B98," от ", TEXT(Данные!C98,"ДД.ММ.ГГГГ\г\."))</f>
        <v>№ от 00.01.1900г.</v>
      </c>
      <c r="C105" s="68" t="str">
        <f>CONCATENATE("№",Данные!F98," от ",TEXT(Данные!G98,"ДД.ММ.ГГГГ\г\."))</f>
        <v>№ от 00.01.1900г.</v>
      </c>
      <c r="D105" s="162">
        <f>Данные!H98</f>
        <v>0</v>
      </c>
      <c r="E105" s="169" t="str">
        <f>IF(Данные!I98 = 2, "МГ", "МН")</f>
        <v>МН</v>
      </c>
      <c r="F105" s="162">
        <f>Данные!J98</f>
        <v>0</v>
      </c>
      <c r="G105" s="162">
        <f>Данные!K98</f>
        <v>0</v>
      </c>
      <c r="H105" s="69">
        <f>Данные!L98</f>
        <v>0</v>
      </c>
      <c r="I105" s="162">
        <f>Данные!M98</f>
        <v>0</v>
      </c>
      <c r="J105" s="69">
        <f>Данные!N98</f>
        <v>0</v>
      </c>
      <c r="K105" s="70">
        <f>Данные!O98</f>
        <v>0</v>
      </c>
      <c r="L105" s="140"/>
    </row>
    <row r="106" spans="1:13" x14ac:dyDescent="0.25">
      <c r="A106" s="67">
        <f>Данные!A99</f>
        <v>0</v>
      </c>
      <c r="B106" s="68" t="str">
        <f>CONCATENATE("№",Данные!B99," от ", TEXT(Данные!C99,"ДД.ММ.ГГГГ\г\."))</f>
        <v>№ от 00.01.1900г.</v>
      </c>
      <c r="C106" s="68" t="str">
        <f>CONCATENATE("№",Данные!F99," от ",TEXT(Данные!G99,"ДД.ММ.ГГГГ\г\."))</f>
        <v>№ от 00.01.1900г.</v>
      </c>
      <c r="D106" s="162">
        <f>Данные!H99</f>
        <v>0</v>
      </c>
      <c r="E106" s="169" t="str">
        <f>IF(Данные!I99 = 2, "МГ", "МН")</f>
        <v>МН</v>
      </c>
      <c r="F106" s="162">
        <f>Данные!J99</f>
        <v>0</v>
      </c>
      <c r="G106" s="162">
        <f>Данные!K99</f>
        <v>0</v>
      </c>
      <c r="H106" s="69">
        <f>Данные!L99</f>
        <v>0</v>
      </c>
      <c r="I106" s="162">
        <f>Данные!M99</f>
        <v>0</v>
      </c>
      <c r="J106" s="69">
        <f>Данные!N99</f>
        <v>0</v>
      </c>
      <c r="K106" s="70">
        <f>Данные!O99</f>
        <v>0</v>
      </c>
      <c r="L106" s="140"/>
    </row>
    <row r="107" spans="1:13" x14ac:dyDescent="0.25">
      <c r="A107" s="67">
        <f>Данные!A100</f>
        <v>0</v>
      </c>
      <c r="B107" s="68" t="str">
        <f>CONCATENATE("№",Данные!B100," от ", TEXT(Данные!C100,"ДД.ММ.ГГГГ\г\."))</f>
        <v>№ от 00.01.1900г.</v>
      </c>
      <c r="C107" s="68" t="str">
        <f>CONCATENATE("№",Данные!F100," от ",TEXT(Данные!G100,"ДД.ММ.ГГГГ\г\."))</f>
        <v>№ от 00.01.1900г.</v>
      </c>
      <c r="D107" s="162">
        <f>Данные!H100</f>
        <v>0</v>
      </c>
      <c r="E107" s="169" t="str">
        <f>IF(Данные!I100 = 2, "МГ", "МН")</f>
        <v>МН</v>
      </c>
      <c r="F107" s="162">
        <f>Данные!J100</f>
        <v>0</v>
      </c>
      <c r="G107" s="162">
        <f>Данные!K100</f>
        <v>0</v>
      </c>
      <c r="H107" s="69">
        <f>Данные!L100</f>
        <v>0</v>
      </c>
      <c r="I107" s="162">
        <f>Данные!M100</f>
        <v>0</v>
      </c>
      <c r="J107" s="69">
        <f>Данные!N100</f>
        <v>0</v>
      </c>
      <c r="K107" s="70">
        <f>Данные!O100</f>
        <v>0</v>
      </c>
      <c r="L107" s="140"/>
    </row>
    <row r="108" spans="1:13" ht="15.75" thickBot="1" x14ac:dyDescent="0.3">
      <c r="A108" s="67">
        <f>Данные!A101</f>
        <v>0</v>
      </c>
      <c r="B108" s="68" t="str">
        <f>CONCATENATE("№",Данные!B101," от ", TEXT(Данные!C101,"ДД.ММ.ГГГГ\г\."))</f>
        <v>№ от 00.01.1900г.</v>
      </c>
      <c r="C108" s="68" t="str">
        <f>CONCATENATE("№",Данные!F101," от ",TEXT(Данные!G101,"ДД.ММ.ГГГГ\г\."))</f>
        <v>№ от 00.01.1900г.</v>
      </c>
      <c r="D108" s="162">
        <f>Данные!H101</f>
        <v>0</v>
      </c>
      <c r="E108" s="169" t="str">
        <f>IF(Данные!I101 = 2, "МГ", "МН")</f>
        <v>МН</v>
      </c>
      <c r="F108" s="162">
        <f>Данные!J101</f>
        <v>0</v>
      </c>
      <c r="G108" s="162">
        <f>Данные!K101</f>
        <v>0</v>
      </c>
      <c r="H108" s="69">
        <f>Данные!L101</f>
        <v>0</v>
      </c>
      <c r="I108" s="162">
        <f>Данные!M101</f>
        <v>0</v>
      </c>
      <c r="J108" s="69">
        <f>Данные!N101</f>
        <v>0</v>
      </c>
      <c r="K108" s="70">
        <f>Данные!O101</f>
        <v>0</v>
      </c>
      <c r="L108" s="140"/>
    </row>
    <row r="109" spans="1:13" ht="15.75" thickBot="1" x14ac:dyDescent="0.3">
      <c r="A109" s="79" t="s">
        <v>14</v>
      </c>
      <c r="B109" s="73"/>
      <c r="C109" s="73"/>
      <c r="D109" s="170">
        <f>SUM(D9:D108)</f>
        <v>741.70999999999992</v>
      </c>
      <c r="E109" s="171"/>
      <c r="F109" s="167">
        <f>D109</f>
        <v>741.70999999999992</v>
      </c>
      <c r="G109" s="163">
        <f>SUM(G9:G108)</f>
        <v>890.04</v>
      </c>
      <c r="H109" s="141">
        <f>SUM(H9:H108)</f>
        <v>610.79</v>
      </c>
      <c r="I109" s="168">
        <f>G109-K109</f>
        <v>732.93999999999994</v>
      </c>
      <c r="J109" s="112">
        <f>F109-H109</f>
        <v>130.91999999999996</v>
      </c>
      <c r="K109" s="113">
        <f>ROUND(J109*1.2,2)</f>
        <v>157.1</v>
      </c>
      <c r="L109" s="114"/>
      <c r="M109" s="114"/>
    </row>
    <row r="110" spans="1:13" x14ac:dyDescent="0.25">
      <c r="A110" s="200" t="s">
        <v>15</v>
      </c>
      <c r="B110" s="200"/>
      <c r="C110" s="200"/>
      <c r="D110" s="200"/>
      <c r="E110" s="200"/>
      <c r="F110" s="200"/>
      <c r="G110" s="200"/>
      <c r="H110" s="200"/>
      <c r="I110" s="200"/>
      <c r="J110" s="200"/>
      <c r="K110" s="200"/>
    </row>
    <row r="111" spans="1:13" x14ac:dyDescent="0.25">
      <c r="A111" t="str">
        <f>CONCATENATE("2. Размер вознаграждения Оператора за период с 01.",TEXT(Данные!G2,"ММ.ГГГГ\г\.")," по ",TEXT(EOMONTH(Данные!G2,0),"ДД.ММ.ГГГГ\г\."),)</f>
        <v>2. Размер вознаграждения Оператора за период с 01.09.2019г. по 30.09.2019г.</v>
      </c>
    </row>
    <row r="112" spans="1:13" x14ac:dyDescent="0.25">
      <c r="A112" t="str">
        <f>CONCATENATE("Составляет ",ROUND(K109,2)," (",СуммаПрописью(K109),") рублей,")</f>
        <v>Составляет 157,1 (Сто пятьдесят семь рублей 10 копеек) рублей,</v>
      </c>
    </row>
    <row r="113" spans="1:5" x14ac:dyDescent="0.25">
      <c r="A113" t="str">
        <f>CONCATENATE("в том числе НДС (20 %) ",ROUND(K109-J109,2)," (",СуммаПрописью(K109-J109),") рублей.")</f>
        <v>в том числе НДС (20 %) 26,18 (Двадцать шесть рублей 18 копеек) рублей.</v>
      </c>
    </row>
    <row r="114" spans="1:5" x14ac:dyDescent="0.25">
      <c r="A114" t="s">
        <v>16</v>
      </c>
    </row>
    <row r="116" spans="1:5" x14ac:dyDescent="0.25">
      <c r="A116" t="s">
        <v>208</v>
      </c>
      <c r="E116" s="1" t="s">
        <v>210</v>
      </c>
    </row>
    <row r="118" spans="1:5" x14ac:dyDescent="0.25">
      <c r="A118" t="s">
        <v>209</v>
      </c>
      <c r="E118" s="1" t="s">
        <v>211</v>
      </c>
    </row>
    <row r="119" spans="1:5" x14ac:dyDescent="0.25">
      <c r="E119" s="1" t="s">
        <v>212</v>
      </c>
    </row>
    <row r="120" spans="1:5" x14ac:dyDescent="0.25">
      <c r="E120" s="1" t="s">
        <v>213</v>
      </c>
    </row>
  </sheetData>
  <mergeCells count="6">
    <mergeCell ref="A6:K6"/>
    <mergeCell ref="A1:K1"/>
    <mergeCell ref="A2:K2"/>
    <mergeCell ref="A3:K3"/>
    <mergeCell ref="I4:K4"/>
    <mergeCell ref="A5:K5"/>
  </mergeCells>
  <pageMargins left="0.98425196850393704" right="0.19685039370078741" top="0.39370078740157483" bottom="0.39370078740157483" header="0.31496062992125984" footer="0.31496062992125984"/>
  <pageSetup paperSize="9" scale="6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128"/>
  <sheetViews>
    <sheetView topLeftCell="A4" workbookViewId="0">
      <selection activeCell="B22" sqref="B22"/>
    </sheetView>
  </sheetViews>
  <sheetFormatPr defaultRowHeight="15" x14ac:dyDescent="0.25"/>
  <cols>
    <col min="1" max="1" width="32.7109375" customWidth="1"/>
    <col min="2" max="2" width="19.140625" customWidth="1"/>
    <col min="3" max="3" width="12.85546875" customWidth="1"/>
    <col min="4" max="4" width="39.28515625" customWidth="1"/>
    <col min="5" max="5" width="5.140625" customWidth="1"/>
    <col min="6" max="6" width="15.140625" customWidth="1"/>
  </cols>
  <sheetData>
    <row r="1" spans="1:13" ht="33.75" customHeight="1" x14ac:dyDescent="0.25">
      <c r="A1" s="232" t="s">
        <v>19</v>
      </c>
      <c r="B1" s="233"/>
      <c r="C1" s="233"/>
      <c r="D1" s="233"/>
      <c r="E1" s="233"/>
      <c r="F1" s="233"/>
    </row>
    <row r="2" spans="1:13" x14ac:dyDescent="0.25">
      <c r="A2" s="234" t="str">
        <f>CONCATENATE("(за Отчетный период с 01.",TEXT(Данные!G2,"ММ.ГГГГ\г\.")," по ",TEXT(EOMONTH(Данные!G2,0),"ДД.ММ.ГГГГ\г\.)"))</f>
        <v>(за Отчетный период с 01.09.2019г. по 30.09.2019г.)</v>
      </c>
      <c r="B2" s="234"/>
      <c r="C2" s="234"/>
      <c r="D2" s="234"/>
      <c r="E2" s="234"/>
      <c r="F2" s="234"/>
    </row>
    <row r="3" spans="1:13" ht="111" customHeight="1" x14ac:dyDescent="0.25">
      <c r="A3" s="231" t="s">
        <v>176</v>
      </c>
      <c r="B3" s="231"/>
      <c r="C3" s="231"/>
      <c r="D3" s="231"/>
      <c r="E3" s="231"/>
      <c r="F3" s="231"/>
    </row>
    <row r="4" spans="1:13" ht="30.75" customHeight="1" x14ac:dyDescent="0.25">
      <c r="A4" s="224" t="s">
        <v>20</v>
      </c>
      <c r="B4" s="224"/>
      <c r="C4" s="224"/>
      <c r="D4" s="224"/>
      <c r="E4" s="224"/>
      <c r="F4" s="224"/>
    </row>
    <row r="5" spans="1:13" ht="32.25" customHeight="1" x14ac:dyDescent="0.25">
      <c r="A5" s="224" t="s">
        <v>21</v>
      </c>
      <c r="B5" s="224"/>
      <c r="C5" s="224"/>
      <c r="D5" s="224"/>
      <c r="E5" s="224"/>
      <c r="F5" s="224"/>
    </row>
    <row r="6" spans="1:13" ht="30.75" customHeight="1" x14ac:dyDescent="0.25">
      <c r="A6" s="224" t="s">
        <v>22</v>
      </c>
      <c r="B6" s="224"/>
      <c r="C6" s="224"/>
      <c r="D6" s="224"/>
      <c r="E6" s="224"/>
      <c r="F6" s="224"/>
    </row>
    <row r="7" spans="1:13" ht="31.5" customHeight="1" x14ac:dyDescent="0.25">
      <c r="A7" s="224" t="s">
        <v>23</v>
      </c>
      <c r="B7" s="224"/>
      <c r="C7" s="224"/>
      <c r="D7" s="224"/>
      <c r="E7" s="224"/>
      <c r="F7" s="224"/>
    </row>
    <row r="8" spans="1:13" ht="30" customHeight="1" x14ac:dyDescent="0.25">
      <c r="A8" s="235" t="s">
        <v>24</v>
      </c>
      <c r="B8" s="235"/>
      <c r="C8" s="235"/>
      <c r="D8" s="235"/>
      <c r="E8" s="235"/>
      <c r="F8" s="235"/>
    </row>
    <row r="9" spans="1:13" ht="16.5" customHeight="1" thickBot="1" x14ac:dyDescent="0.3">
      <c r="A9" s="236" t="str">
        <f>CONCATENATE("Таблица 1. Детализация Дебиторской задолженности за Отчетный период с 01.",TEXT(Данные!G2,"ММ.ГГГГ\г\.")," по ",TEXT(EOMONTH(Данные!G2,0),"ДД.ММ.ГГГГ\г\."))</f>
        <v>Таблица 1. Детализация Дебиторской задолженности за Отчетный период с 01.09.2019г. по 30.09.2019г.</v>
      </c>
      <c r="B9" s="237"/>
      <c r="C9" s="237"/>
      <c r="D9" s="237"/>
      <c r="E9" s="237"/>
      <c r="F9" s="237"/>
      <c r="G9" s="17"/>
      <c r="H9" s="17"/>
      <c r="I9" s="17"/>
      <c r="J9" s="17"/>
      <c r="K9" s="17"/>
      <c r="L9" s="17"/>
      <c r="M9" s="17"/>
    </row>
    <row r="10" spans="1:13" ht="53.25" customHeight="1" thickBot="1" x14ac:dyDescent="0.3">
      <c r="A10" s="71" t="s">
        <v>17</v>
      </c>
      <c r="B10" s="72" t="s">
        <v>18</v>
      </c>
      <c r="C10" s="238" t="s">
        <v>0</v>
      </c>
      <c r="D10" s="238"/>
      <c r="E10" s="238" t="s">
        <v>93</v>
      </c>
      <c r="F10" s="239"/>
      <c r="G10" s="17"/>
      <c r="H10" s="17"/>
      <c r="I10" s="17"/>
      <c r="J10" s="17"/>
      <c r="K10" s="17"/>
      <c r="L10" s="17"/>
      <c r="M10" s="17"/>
    </row>
    <row r="11" spans="1:13" x14ac:dyDescent="0.25">
      <c r="A11" s="210" t="str">
        <f>CONCATENATE("№",Данные!B2)</f>
        <v>№DA000287#0314-018Т</v>
      </c>
      <c r="B11" s="211" t="str">
        <f>TEXT(Данные!C2,"ДД.ММ.ГГГГ\г\.")</f>
        <v>17.03.2014г.</v>
      </c>
      <c r="C11" s="220" t="str">
        <f>Данные!A2</f>
        <v>ООО «Инженерный центр «Осколлифтреммонтаж»</v>
      </c>
      <c r="D11" s="221"/>
      <c r="E11" s="212" t="str">
        <f>IF(Данные!I2 = 2, "МГ", "МН")</f>
        <v>МГ</v>
      </c>
      <c r="F11" s="213">
        <f>Данные!K2</f>
        <v>23.13</v>
      </c>
      <c r="G11" s="17"/>
      <c r="H11" s="17"/>
      <c r="I11" s="17"/>
      <c r="J11" s="17"/>
      <c r="K11" s="17"/>
      <c r="L11" s="17"/>
      <c r="M11" s="17"/>
    </row>
    <row r="12" spans="1:13" x14ac:dyDescent="0.25">
      <c r="A12" s="31" t="str">
        <f>CONCATENATE("№",Данные!B3)</f>
        <v>№DA000287#12_12-074</v>
      </c>
      <c r="B12" s="218" t="str">
        <f>TEXT(Данные!C3,"ДД.ММ.ГГГГ\г\.")</f>
        <v>11.12.2012г.</v>
      </c>
      <c r="C12" s="143" t="str">
        <f>Данные!A3</f>
        <v>ООО «ВКМ»</v>
      </c>
      <c r="D12" s="142"/>
      <c r="E12" s="219" t="str">
        <f>IF(Данные!I3 = 2, "МГ", "МН")</f>
        <v>МГ</v>
      </c>
      <c r="F12" s="34">
        <f>Данные!K3</f>
        <v>866.91</v>
      </c>
      <c r="G12" s="17"/>
      <c r="H12" s="17"/>
      <c r="I12" s="17"/>
      <c r="J12" s="17"/>
      <c r="K12" s="17"/>
      <c r="L12" s="17"/>
      <c r="M12" s="17"/>
    </row>
    <row r="13" spans="1:13" x14ac:dyDescent="0.25">
      <c r="A13" s="31" t="str">
        <f>CONCATENATE("№",Данные!B4)</f>
        <v>№</v>
      </c>
      <c r="B13" s="32" t="str">
        <f>TEXT(Данные!C4,"ДД.ММ.ГГГГ\г\.")</f>
        <v>00.01.1900г.</v>
      </c>
      <c r="C13" s="143">
        <f>Данные!A4</f>
        <v>0</v>
      </c>
      <c r="D13" s="142"/>
      <c r="E13" s="33" t="str">
        <f>IF(Данные!I4 = 2, "МГ", "МН")</f>
        <v>МН</v>
      </c>
      <c r="F13" s="34">
        <f>Данные!K4</f>
        <v>0</v>
      </c>
      <c r="G13" s="17"/>
      <c r="H13" s="17"/>
      <c r="I13" s="17"/>
      <c r="J13" s="17"/>
      <c r="K13" s="17"/>
      <c r="L13" s="17"/>
      <c r="M13" s="17"/>
    </row>
    <row r="14" spans="1:13" x14ac:dyDescent="0.25">
      <c r="A14" s="31" t="str">
        <f>CONCATENATE("№",Данные!B5)</f>
        <v>№</v>
      </c>
      <c r="B14" s="32" t="str">
        <f>TEXT(Данные!C5,"ДД.ММ.ГГГГ\г\.")</f>
        <v>00.01.1900г.</v>
      </c>
      <c r="C14" s="143">
        <f>Данные!A5</f>
        <v>0</v>
      </c>
      <c r="D14" s="142"/>
      <c r="E14" s="33" t="str">
        <f>IF(Данные!I5 = 2, "МГ", "МН")</f>
        <v>МН</v>
      </c>
      <c r="F14" s="34">
        <f>Данные!K5</f>
        <v>0</v>
      </c>
      <c r="G14" s="17"/>
      <c r="H14" s="17"/>
      <c r="I14" s="17"/>
      <c r="J14" s="17"/>
      <c r="K14" s="17"/>
      <c r="L14" s="17"/>
      <c r="M14" s="17"/>
    </row>
    <row r="15" spans="1:13" x14ac:dyDescent="0.25">
      <c r="A15" s="31" t="str">
        <f>CONCATENATE("№",Данные!B6)</f>
        <v>№</v>
      </c>
      <c r="B15" s="32" t="str">
        <f>TEXT(Данные!C6,"ДД.ММ.ГГГГ\г\.")</f>
        <v>00.01.1900г.</v>
      </c>
      <c r="C15" s="143">
        <f>Данные!A6</f>
        <v>0</v>
      </c>
      <c r="D15" s="142"/>
      <c r="E15" s="33" t="str">
        <f>IF(Данные!I6 = 2, "МГ", "МН")</f>
        <v>МН</v>
      </c>
      <c r="F15" s="34">
        <f>Данные!K6</f>
        <v>0</v>
      </c>
      <c r="G15" s="17"/>
      <c r="H15" s="17"/>
      <c r="I15" s="17"/>
      <c r="J15" s="17"/>
      <c r="K15" s="17"/>
      <c r="L15" s="17"/>
      <c r="M15" s="17"/>
    </row>
    <row r="16" spans="1:13" x14ac:dyDescent="0.25">
      <c r="A16" s="31" t="str">
        <f>CONCATENATE("№",Данные!B7)</f>
        <v>№</v>
      </c>
      <c r="B16" s="32" t="str">
        <f>TEXT(Данные!C7,"ДД.ММ.ГГГГ\г\.")</f>
        <v>00.01.1900г.</v>
      </c>
      <c r="C16" s="143">
        <f>Данные!A7</f>
        <v>0</v>
      </c>
      <c r="D16" s="142"/>
      <c r="E16" s="33" t="str">
        <f>IF(Данные!I7 = 2, "МГ", "МН")</f>
        <v>МН</v>
      </c>
      <c r="F16" s="34">
        <f>Данные!K7</f>
        <v>0</v>
      </c>
      <c r="G16" s="17"/>
      <c r="H16" s="17"/>
      <c r="I16" s="17"/>
      <c r="J16" s="17"/>
      <c r="K16" s="17"/>
      <c r="L16" s="17"/>
      <c r="M16" s="17"/>
    </row>
    <row r="17" spans="1:13" x14ac:dyDescent="0.25">
      <c r="A17" s="31" t="str">
        <f>CONCATENATE("№",Данные!B8)</f>
        <v>№</v>
      </c>
      <c r="B17" s="32" t="str">
        <f>TEXT(Данные!C8,"ДД.ММ.ГГГГ\г\.")</f>
        <v>00.01.1900г.</v>
      </c>
      <c r="C17" s="143">
        <f>Данные!A8</f>
        <v>0</v>
      </c>
      <c r="D17" s="142"/>
      <c r="E17" s="33" t="str">
        <f>IF(Данные!I8 = 2, "МГ", "МН")</f>
        <v>МН</v>
      </c>
      <c r="F17" s="34">
        <f>Данные!K8</f>
        <v>0</v>
      </c>
      <c r="G17" s="17"/>
      <c r="H17" s="17"/>
      <c r="I17" s="17"/>
      <c r="J17" s="17"/>
      <c r="K17" s="17"/>
      <c r="L17" s="17"/>
      <c r="M17" s="17"/>
    </row>
    <row r="18" spans="1:13" x14ac:dyDescent="0.25">
      <c r="A18" s="31" t="str">
        <f>CONCATENATE("№",Данные!B9)</f>
        <v>№</v>
      </c>
      <c r="B18" s="32" t="str">
        <f>TEXT(Данные!C9,"ДД.ММ.ГГГГ\г\.")</f>
        <v>00.01.1900г.</v>
      </c>
      <c r="C18" s="143">
        <f>Данные!A9</f>
        <v>0</v>
      </c>
      <c r="D18" s="142"/>
      <c r="E18" s="33" t="str">
        <f>IF(Данные!I9 = 2, "МГ", "МН")</f>
        <v>МН</v>
      </c>
      <c r="F18" s="34">
        <f>Данные!K9</f>
        <v>0</v>
      </c>
      <c r="G18" s="17"/>
      <c r="H18" s="17"/>
      <c r="I18" s="17"/>
      <c r="J18" s="17"/>
      <c r="K18" s="17"/>
      <c r="L18" s="17"/>
      <c r="M18" s="17"/>
    </row>
    <row r="19" spans="1:13" x14ac:dyDescent="0.25">
      <c r="A19" s="31" t="str">
        <f>CONCATENATE("№",Данные!B10)</f>
        <v>№</v>
      </c>
      <c r="B19" s="32" t="str">
        <f>TEXT(Данные!C10,"ДД.ММ.ГГГГ\г\.")</f>
        <v>00.01.1900г.</v>
      </c>
      <c r="C19" s="143">
        <f>Данные!A10</f>
        <v>0</v>
      </c>
      <c r="D19" s="142"/>
      <c r="E19" s="33" t="str">
        <f>IF(Данные!I10 = 2, "МГ", "МН")</f>
        <v>МН</v>
      </c>
      <c r="F19" s="34">
        <f>Данные!K10</f>
        <v>0</v>
      </c>
      <c r="G19" s="17"/>
      <c r="H19" s="17"/>
      <c r="I19" s="17"/>
      <c r="J19" s="17"/>
      <c r="K19" s="17"/>
      <c r="L19" s="17"/>
      <c r="M19" s="17"/>
    </row>
    <row r="20" spans="1:13" x14ac:dyDescent="0.25">
      <c r="A20" s="31" t="str">
        <f>CONCATENATE("№",Данные!B11)</f>
        <v>№</v>
      </c>
      <c r="B20" s="32" t="str">
        <f>TEXT(Данные!C11,"ДД.ММ.ГГГГ\г\.")</f>
        <v>00.01.1900г.</v>
      </c>
      <c r="C20" s="143">
        <f>Данные!A11</f>
        <v>0</v>
      </c>
      <c r="D20" s="142"/>
      <c r="E20" s="33" t="str">
        <f>IF(Данные!I11 = 2, "МГ", "МН")</f>
        <v>МН</v>
      </c>
      <c r="F20" s="34">
        <f>Данные!K11</f>
        <v>0</v>
      </c>
      <c r="G20" s="17"/>
      <c r="H20" s="17"/>
      <c r="I20" s="17"/>
      <c r="J20" s="17"/>
      <c r="K20" s="17"/>
      <c r="L20" s="17"/>
      <c r="M20" s="17"/>
    </row>
    <row r="21" spans="1:13" x14ac:dyDescent="0.25">
      <c r="A21" s="31" t="str">
        <f>CONCATENATE("№",Данные!B12)</f>
        <v>№</v>
      </c>
      <c r="B21" s="32" t="str">
        <f>TEXT(Данные!C12,"ДД.ММ.ГГГГ\г\.")</f>
        <v>00.01.1900г.</v>
      </c>
      <c r="C21" s="143">
        <f>Данные!A12</f>
        <v>0</v>
      </c>
      <c r="D21" s="142"/>
      <c r="E21" s="33" t="str">
        <f>IF(Данные!I12 = 2, "МГ", "МН")</f>
        <v>МН</v>
      </c>
      <c r="F21" s="34">
        <f>Данные!K12</f>
        <v>0</v>
      </c>
      <c r="G21" s="17"/>
      <c r="H21" s="17"/>
      <c r="I21" s="17"/>
      <c r="J21" s="17"/>
      <c r="K21" s="17"/>
      <c r="L21" s="17"/>
      <c r="M21" s="17"/>
    </row>
    <row r="22" spans="1:13" x14ac:dyDescent="0.25">
      <c r="A22" s="31" t="str">
        <f>CONCATENATE("№",Данные!B13)</f>
        <v>№</v>
      </c>
      <c r="B22" s="32" t="str">
        <f>TEXT(Данные!C13,"ДД.ММ.ГГГГ\г\.")</f>
        <v>00.01.1900г.</v>
      </c>
      <c r="C22" s="143">
        <f>Данные!A13</f>
        <v>0</v>
      </c>
      <c r="D22" s="142"/>
      <c r="E22" s="33" t="str">
        <f>IF(Данные!I13 = 2, "МГ", "МН")</f>
        <v>МН</v>
      </c>
      <c r="F22" s="34">
        <f>Данные!K13</f>
        <v>0</v>
      </c>
      <c r="G22" s="17"/>
      <c r="H22" s="17"/>
      <c r="I22" s="17"/>
      <c r="J22" s="17"/>
      <c r="K22" s="17"/>
      <c r="L22" s="17"/>
      <c r="M22" s="17"/>
    </row>
    <row r="23" spans="1:13" x14ac:dyDescent="0.25">
      <c r="A23" s="31" t="str">
        <f>CONCATENATE("№",Данные!B14)</f>
        <v>№</v>
      </c>
      <c r="B23" s="32" t="str">
        <f>TEXT(Данные!C14,"ДД.ММ.ГГГГ\г\.")</f>
        <v>00.01.1900г.</v>
      </c>
      <c r="C23" s="143">
        <f>Данные!A14</f>
        <v>0</v>
      </c>
      <c r="D23" s="142"/>
      <c r="E23" s="33" t="str">
        <f>IF(Данные!I14 = 2, "МГ", "МН")</f>
        <v>МН</v>
      </c>
      <c r="F23" s="34">
        <f>Данные!K14</f>
        <v>0</v>
      </c>
      <c r="G23" s="17"/>
      <c r="H23" s="17"/>
      <c r="I23" s="17"/>
      <c r="J23" s="17"/>
      <c r="K23" s="17"/>
      <c r="L23" s="17"/>
      <c r="M23" s="17"/>
    </row>
    <row r="24" spans="1:13" x14ac:dyDescent="0.25">
      <c r="A24" s="31" t="str">
        <f>CONCATENATE("№",Данные!B15)</f>
        <v>№</v>
      </c>
      <c r="B24" s="32" t="str">
        <f>TEXT(Данные!C15,"ДД.ММ.ГГГГ\г\.")</f>
        <v>00.01.1900г.</v>
      </c>
      <c r="C24" s="143">
        <f>Данные!A15</f>
        <v>0</v>
      </c>
      <c r="D24" s="142"/>
      <c r="E24" s="33" t="str">
        <f>IF(Данные!I15 = 2, "МГ", "МН")</f>
        <v>МН</v>
      </c>
      <c r="F24" s="34">
        <f>Данные!K15</f>
        <v>0</v>
      </c>
      <c r="G24" s="17"/>
      <c r="H24" s="17"/>
      <c r="I24" s="17"/>
      <c r="J24" s="17"/>
      <c r="K24" s="17"/>
      <c r="L24" s="17"/>
      <c r="M24" s="17"/>
    </row>
    <row r="25" spans="1:13" x14ac:dyDescent="0.25">
      <c r="A25" s="31" t="str">
        <f>CONCATENATE("№",Данные!B16)</f>
        <v>№</v>
      </c>
      <c r="B25" s="32" t="str">
        <f>TEXT(Данные!C16,"ДД.ММ.ГГГГ\г\.")</f>
        <v>00.01.1900г.</v>
      </c>
      <c r="C25" s="143">
        <f>Данные!A16</f>
        <v>0</v>
      </c>
      <c r="D25" s="142"/>
      <c r="E25" s="33" t="str">
        <f>IF(Данные!I16 = 2, "МГ", "МН")</f>
        <v>МН</v>
      </c>
      <c r="F25" s="34">
        <f>Данные!K16</f>
        <v>0</v>
      </c>
      <c r="G25" s="17"/>
      <c r="H25" s="17"/>
      <c r="I25" s="17"/>
      <c r="J25" s="17"/>
      <c r="K25" s="17"/>
      <c r="L25" s="17"/>
      <c r="M25" s="17"/>
    </row>
    <row r="26" spans="1:13" x14ac:dyDescent="0.25">
      <c r="A26" s="31" t="str">
        <f>CONCATENATE("№",Данные!B17)</f>
        <v>№</v>
      </c>
      <c r="B26" s="32" t="str">
        <f>TEXT(Данные!C17,"ДД.ММ.ГГГГ\г\.")</f>
        <v>00.01.1900г.</v>
      </c>
      <c r="C26" s="143">
        <f>Данные!A17</f>
        <v>0</v>
      </c>
      <c r="D26" s="142"/>
      <c r="E26" s="33" t="str">
        <f>IF(Данные!I17 = 2, "МГ", "МН")</f>
        <v>МН</v>
      </c>
      <c r="F26" s="34">
        <f>Данные!K17</f>
        <v>0</v>
      </c>
      <c r="G26" s="17"/>
      <c r="H26" s="17"/>
      <c r="I26" s="17"/>
      <c r="J26" s="17"/>
      <c r="K26" s="17"/>
      <c r="L26" s="17"/>
      <c r="M26" s="17"/>
    </row>
    <row r="27" spans="1:13" x14ac:dyDescent="0.25">
      <c r="A27" s="31" t="str">
        <f>CONCATENATE("№",Данные!B18)</f>
        <v>№</v>
      </c>
      <c r="B27" s="32" t="str">
        <f>TEXT(Данные!C18,"ДД.ММ.ГГГГ\г\.")</f>
        <v>00.01.1900г.</v>
      </c>
      <c r="C27" s="143">
        <f>Данные!A18</f>
        <v>0</v>
      </c>
      <c r="D27" s="142"/>
      <c r="E27" s="33" t="str">
        <f>IF(Данные!I18 = 2, "МГ", "МН")</f>
        <v>МН</v>
      </c>
      <c r="F27" s="34">
        <f>Данные!K18</f>
        <v>0</v>
      </c>
      <c r="G27" s="17"/>
      <c r="H27" s="17"/>
      <c r="I27" s="17"/>
      <c r="J27" s="17"/>
      <c r="K27" s="17"/>
      <c r="L27" s="17"/>
      <c r="M27" s="17"/>
    </row>
    <row r="28" spans="1:13" x14ac:dyDescent="0.25">
      <c r="A28" s="31" t="str">
        <f>CONCATENATE("№",Данные!B19)</f>
        <v>№</v>
      </c>
      <c r="B28" s="32" t="str">
        <f>TEXT(Данные!C19,"ДД.ММ.ГГГГ\г\.")</f>
        <v>00.01.1900г.</v>
      </c>
      <c r="C28" s="143">
        <f>Данные!A19</f>
        <v>0</v>
      </c>
      <c r="D28" s="142"/>
      <c r="E28" s="33" t="str">
        <f>IF(Данные!I19 = 2, "МГ", "МН")</f>
        <v>МН</v>
      </c>
      <c r="F28" s="34">
        <f>Данные!K19</f>
        <v>0</v>
      </c>
      <c r="G28" s="17"/>
      <c r="H28" s="17"/>
      <c r="I28" s="17"/>
      <c r="J28" s="17"/>
      <c r="K28" s="17"/>
      <c r="L28" s="17"/>
      <c r="M28" s="17"/>
    </row>
    <row r="29" spans="1:13" x14ac:dyDescent="0.25">
      <c r="A29" s="31" t="str">
        <f>CONCATENATE("№",Данные!B20)</f>
        <v>№</v>
      </c>
      <c r="B29" s="32" t="str">
        <f>TEXT(Данные!C20,"ДД.ММ.ГГГГ\г\.")</f>
        <v>00.01.1900г.</v>
      </c>
      <c r="C29" s="143">
        <f>Данные!A20</f>
        <v>0</v>
      </c>
      <c r="D29" s="142"/>
      <c r="E29" s="33" t="str">
        <f>IF(Данные!I20 = 2, "МГ", "МН")</f>
        <v>МН</v>
      </c>
      <c r="F29" s="34">
        <f>Данные!K20</f>
        <v>0</v>
      </c>
      <c r="G29" s="17"/>
      <c r="H29" s="17"/>
      <c r="I29" s="17"/>
      <c r="J29" s="17"/>
      <c r="K29" s="17"/>
      <c r="L29" s="17"/>
      <c r="M29" s="17"/>
    </row>
    <row r="30" spans="1:13" x14ac:dyDescent="0.25">
      <c r="A30" s="31" t="str">
        <f>CONCATENATE("№",Данные!B21)</f>
        <v>№</v>
      </c>
      <c r="B30" s="32" t="str">
        <f>TEXT(Данные!C21,"ДД.ММ.ГГГГ\г\.")</f>
        <v>00.01.1900г.</v>
      </c>
      <c r="C30" s="143">
        <f>Данные!A21</f>
        <v>0</v>
      </c>
      <c r="D30" s="142"/>
      <c r="E30" s="33" t="str">
        <f>IF(Данные!I21 = 2, "МГ", "МН")</f>
        <v>МН</v>
      </c>
      <c r="F30" s="34">
        <f>Данные!K21</f>
        <v>0</v>
      </c>
      <c r="G30" s="17"/>
      <c r="H30" s="17"/>
      <c r="I30" s="17"/>
      <c r="J30" s="17"/>
      <c r="K30" s="17"/>
      <c r="L30" s="17"/>
      <c r="M30" s="17"/>
    </row>
    <row r="31" spans="1:13" x14ac:dyDescent="0.25">
      <c r="A31" s="31" t="str">
        <f>CONCATENATE("№",Данные!B22)</f>
        <v>№</v>
      </c>
      <c r="B31" s="32" t="str">
        <f>TEXT(Данные!C22,"ДД.ММ.ГГГГ\г\.")</f>
        <v>00.01.1900г.</v>
      </c>
      <c r="C31" s="143">
        <f>Данные!A22</f>
        <v>0</v>
      </c>
      <c r="D31" s="142"/>
      <c r="E31" s="33" t="str">
        <f>IF(Данные!I22 = 2, "МГ", "МН")</f>
        <v>МН</v>
      </c>
      <c r="F31" s="34">
        <f>Данные!K22</f>
        <v>0</v>
      </c>
      <c r="G31" s="17"/>
      <c r="H31" s="17"/>
      <c r="I31" s="17"/>
      <c r="J31" s="17"/>
      <c r="K31" s="17"/>
      <c r="L31" s="17"/>
      <c r="M31" s="17"/>
    </row>
    <row r="32" spans="1:13" x14ac:dyDescent="0.25">
      <c r="A32" s="31" t="str">
        <f>CONCATENATE("№",Данные!B23)</f>
        <v>№</v>
      </c>
      <c r="B32" s="32" t="str">
        <f>TEXT(Данные!C23,"ДД.ММ.ГГГГ\г\.")</f>
        <v>00.01.1900г.</v>
      </c>
      <c r="C32" s="143">
        <f>Данные!A23</f>
        <v>0</v>
      </c>
      <c r="D32" s="142"/>
      <c r="E32" s="33" t="str">
        <f>IF(Данные!I23 = 2, "МГ", "МН")</f>
        <v>МН</v>
      </c>
      <c r="F32" s="34">
        <f>Данные!K23</f>
        <v>0</v>
      </c>
      <c r="G32" s="17"/>
      <c r="H32" s="17"/>
      <c r="I32" s="17"/>
      <c r="J32" s="17"/>
      <c r="K32" s="17"/>
      <c r="L32" s="17"/>
      <c r="M32" s="17"/>
    </row>
    <row r="33" spans="1:13" x14ac:dyDescent="0.25">
      <c r="A33" s="31" t="str">
        <f>CONCATENATE("№",Данные!B24)</f>
        <v>№</v>
      </c>
      <c r="B33" s="32" t="str">
        <f>TEXT(Данные!C24,"ДД.ММ.ГГГГ\г\.")</f>
        <v>00.01.1900г.</v>
      </c>
      <c r="C33" s="143">
        <f>Данные!A24</f>
        <v>0</v>
      </c>
      <c r="D33" s="142"/>
      <c r="E33" s="33" t="str">
        <f>IF(Данные!I24 = 2, "МГ", "МН")</f>
        <v>МН</v>
      </c>
      <c r="F33" s="34">
        <f>Данные!K24</f>
        <v>0</v>
      </c>
      <c r="G33" s="17"/>
      <c r="H33" s="17"/>
      <c r="I33" s="17"/>
      <c r="J33" s="17"/>
      <c r="K33" s="17"/>
      <c r="L33" s="17"/>
      <c r="M33" s="17"/>
    </row>
    <row r="34" spans="1:13" x14ac:dyDescent="0.25">
      <c r="A34" s="31" t="str">
        <f>CONCATENATE("№",Данные!B25)</f>
        <v>№</v>
      </c>
      <c r="B34" s="32" t="str">
        <f>TEXT(Данные!C25,"ДД.ММ.ГГГГ\г\.")</f>
        <v>00.01.1900г.</v>
      </c>
      <c r="C34" s="143">
        <f>Данные!A25</f>
        <v>0</v>
      </c>
      <c r="D34" s="142"/>
      <c r="E34" s="33" t="str">
        <f>IF(Данные!I25 = 2, "МГ", "МН")</f>
        <v>МН</v>
      </c>
      <c r="F34" s="34">
        <f>Данные!K25</f>
        <v>0</v>
      </c>
      <c r="G34" s="17"/>
      <c r="H34" s="17"/>
      <c r="I34" s="17"/>
      <c r="J34" s="17"/>
      <c r="K34" s="17"/>
      <c r="L34" s="17"/>
      <c r="M34" s="17"/>
    </row>
    <row r="35" spans="1:13" x14ac:dyDescent="0.25">
      <c r="A35" s="31" t="str">
        <f>CONCATENATE("№",Данные!B26)</f>
        <v>№</v>
      </c>
      <c r="B35" s="32" t="str">
        <f>TEXT(Данные!C26,"ДД.ММ.ГГГГ\г\.")</f>
        <v>00.01.1900г.</v>
      </c>
      <c r="C35" s="143">
        <f>Данные!A26</f>
        <v>0</v>
      </c>
      <c r="D35" s="142"/>
      <c r="E35" s="33" t="str">
        <f>IF(Данные!I26 = 2, "МГ", "МН")</f>
        <v>МН</v>
      </c>
      <c r="F35" s="34">
        <f>Данные!K26</f>
        <v>0</v>
      </c>
      <c r="G35" s="17"/>
      <c r="H35" s="17"/>
      <c r="I35" s="17"/>
      <c r="J35" s="17"/>
      <c r="K35" s="17"/>
      <c r="L35" s="17"/>
      <c r="M35" s="17"/>
    </row>
    <row r="36" spans="1:13" x14ac:dyDescent="0.25">
      <c r="A36" s="31" t="str">
        <f>CONCATENATE("№",Данные!B27)</f>
        <v>№</v>
      </c>
      <c r="B36" s="32" t="str">
        <f>TEXT(Данные!C27,"ДД.ММ.ГГГГ\г\.")</f>
        <v>00.01.1900г.</v>
      </c>
      <c r="C36" s="143">
        <f>Данные!A27</f>
        <v>0</v>
      </c>
      <c r="D36" s="142"/>
      <c r="E36" s="33" t="str">
        <f>IF(Данные!I27 = 2, "МГ", "МН")</f>
        <v>МН</v>
      </c>
      <c r="F36" s="34">
        <f>Данные!K27</f>
        <v>0</v>
      </c>
      <c r="G36" s="17"/>
      <c r="H36" s="17"/>
      <c r="I36" s="17"/>
      <c r="J36" s="17"/>
      <c r="K36" s="17"/>
      <c r="L36" s="17"/>
      <c r="M36" s="17"/>
    </row>
    <row r="37" spans="1:13" x14ac:dyDescent="0.25">
      <c r="A37" s="31" t="str">
        <f>CONCATENATE("№",Данные!B28)</f>
        <v>№</v>
      </c>
      <c r="B37" s="32" t="str">
        <f>TEXT(Данные!C28,"ДД.ММ.ГГГГ\г\.")</f>
        <v>00.01.1900г.</v>
      </c>
      <c r="C37" s="143">
        <f>Данные!A28</f>
        <v>0</v>
      </c>
      <c r="D37" s="142"/>
      <c r="E37" s="33" t="str">
        <f>IF(Данные!I28 = 2, "МГ", "МН")</f>
        <v>МН</v>
      </c>
      <c r="F37" s="34">
        <f>Данные!K28</f>
        <v>0</v>
      </c>
      <c r="G37" s="17"/>
      <c r="H37" s="17"/>
      <c r="I37" s="17"/>
      <c r="J37" s="17"/>
      <c r="K37" s="17"/>
      <c r="L37" s="17"/>
      <c r="M37" s="17"/>
    </row>
    <row r="38" spans="1:13" x14ac:dyDescent="0.25">
      <c r="A38" s="31" t="str">
        <f>CONCATENATE("№",Данные!B29)</f>
        <v>№</v>
      </c>
      <c r="B38" s="32" t="str">
        <f>TEXT(Данные!C29,"ДД.ММ.ГГГГ\г\.")</f>
        <v>00.01.1900г.</v>
      </c>
      <c r="C38" s="143">
        <f>Данные!A29</f>
        <v>0</v>
      </c>
      <c r="D38" s="142"/>
      <c r="E38" s="33" t="str">
        <f>IF(Данные!I29 = 2, "МГ", "МН")</f>
        <v>МН</v>
      </c>
      <c r="F38" s="34">
        <f>Данные!K29</f>
        <v>0</v>
      </c>
      <c r="G38" s="17"/>
      <c r="H38" s="17"/>
      <c r="I38" s="17"/>
      <c r="J38" s="17"/>
      <c r="K38" s="17"/>
      <c r="L38" s="17"/>
      <c r="M38" s="17"/>
    </row>
    <row r="39" spans="1:13" x14ac:dyDescent="0.25">
      <c r="A39" s="31" t="str">
        <f>CONCATENATE("№",Данные!B30)</f>
        <v>№</v>
      </c>
      <c r="B39" s="32" t="str">
        <f>TEXT(Данные!C30,"ДД.ММ.ГГГГ\г\.")</f>
        <v>00.01.1900г.</v>
      </c>
      <c r="C39" s="143">
        <f>Данные!A30</f>
        <v>0</v>
      </c>
      <c r="D39" s="142"/>
      <c r="E39" s="33" t="str">
        <f>IF(Данные!I30 = 2, "МГ", "МН")</f>
        <v>МН</v>
      </c>
      <c r="F39" s="34">
        <f>Данные!K30</f>
        <v>0</v>
      </c>
      <c r="G39" s="17"/>
      <c r="H39" s="17"/>
      <c r="I39" s="17"/>
      <c r="J39" s="17"/>
      <c r="K39" s="17"/>
      <c r="L39" s="17"/>
      <c r="M39" s="17"/>
    </row>
    <row r="40" spans="1:13" x14ac:dyDescent="0.25">
      <c r="A40" s="31" t="str">
        <f>CONCATENATE("№",Данные!B31)</f>
        <v>№</v>
      </c>
      <c r="B40" s="32" t="str">
        <f>TEXT(Данные!C31,"ДД.ММ.ГГГГ\г\.")</f>
        <v>00.01.1900г.</v>
      </c>
      <c r="C40" s="143">
        <f>Данные!A31</f>
        <v>0</v>
      </c>
      <c r="D40" s="142"/>
      <c r="E40" s="33" t="str">
        <f>IF(Данные!I31 = 2, "МГ", "МН")</f>
        <v>МН</v>
      </c>
      <c r="F40" s="34">
        <f>Данные!K31</f>
        <v>0</v>
      </c>
      <c r="G40" s="17"/>
      <c r="H40" s="17"/>
      <c r="I40" s="17"/>
      <c r="J40" s="17"/>
      <c r="K40" s="17"/>
      <c r="L40" s="17"/>
      <c r="M40" s="17"/>
    </row>
    <row r="41" spans="1:13" x14ac:dyDescent="0.25">
      <c r="A41" s="31" t="str">
        <f>CONCATENATE("№",Данные!B32)</f>
        <v>№</v>
      </c>
      <c r="B41" s="32" t="str">
        <f>TEXT(Данные!C32,"ДД.ММ.ГГГГ\г\.")</f>
        <v>00.01.1900г.</v>
      </c>
      <c r="C41" s="143">
        <f>Данные!A32</f>
        <v>0</v>
      </c>
      <c r="D41" s="142"/>
      <c r="E41" s="33" t="str">
        <f>IF(Данные!I32 = 2, "МГ", "МН")</f>
        <v>МН</v>
      </c>
      <c r="F41" s="34">
        <f>Данные!K32</f>
        <v>0</v>
      </c>
      <c r="G41" s="17"/>
      <c r="H41" s="17"/>
      <c r="I41" s="17"/>
      <c r="J41" s="17"/>
      <c r="K41" s="17"/>
      <c r="L41" s="17"/>
      <c r="M41" s="17"/>
    </row>
    <row r="42" spans="1:13" x14ac:dyDescent="0.25">
      <c r="A42" s="31" t="str">
        <f>CONCATENATE("№",Данные!B33)</f>
        <v>№</v>
      </c>
      <c r="B42" s="32" t="str">
        <f>TEXT(Данные!C33,"ДД.ММ.ГГГГ\г\.")</f>
        <v>00.01.1900г.</v>
      </c>
      <c r="C42" s="143">
        <f>Данные!A33</f>
        <v>0</v>
      </c>
      <c r="D42" s="142"/>
      <c r="E42" s="33" t="str">
        <f>IF(Данные!I33 = 2, "МГ", "МН")</f>
        <v>МН</v>
      </c>
      <c r="F42" s="34">
        <f>Данные!K33</f>
        <v>0</v>
      </c>
      <c r="G42" s="17"/>
      <c r="H42" s="17"/>
      <c r="I42" s="17"/>
      <c r="J42" s="17"/>
      <c r="K42" s="17"/>
      <c r="L42" s="17"/>
      <c r="M42" s="17"/>
    </row>
    <row r="43" spans="1:13" x14ac:dyDescent="0.25">
      <c r="A43" s="31" t="str">
        <f>CONCATENATE("№",Данные!B34)</f>
        <v>№</v>
      </c>
      <c r="B43" s="32" t="str">
        <f>TEXT(Данные!C34,"ДД.ММ.ГГГГ\г\.")</f>
        <v>00.01.1900г.</v>
      </c>
      <c r="C43" s="143">
        <f>Данные!A34</f>
        <v>0</v>
      </c>
      <c r="D43" s="142"/>
      <c r="E43" s="33" t="str">
        <f>IF(Данные!I34 = 2, "МГ", "МН")</f>
        <v>МН</v>
      </c>
      <c r="F43" s="34">
        <f>Данные!K34</f>
        <v>0</v>
      </c>
      <c r="G43" s="17"/>
      <c r="H43" s="17"/>
      <c r="I43" s="17"/>
      <c r="J43" s="17"/>
      <c r="K43" s="17"/>
      <c r="L43" s="17"/>
      <c r="M43" s="17"/>
    </row>
    <row r="44" spans="1:13" x14ac:dyDescent="0.25">
      <c r="A44" s="31" t="str">
        <f>CONCATENATE("№",Данные!B35)</f>
        <v>№</v>
      </c>
      <c r="B44" s="32" t="str">
        <f>TEXT(Данные!C35,"ДД.ММ.ГГГГ\г\.")</f>
        <v>00.01.1900г.</v>
      </c>
      <c r="C44" s="143">
        <f>Данные!A35</f>
        <v>0</v>
      </c>
      <c r="D44" s="142"/>
      <c r="E44" s="33" t="str">
        <f>IF(Данные!I35 = 2, "МГ", "МН")</f>
        <v>МН</v>
      </c>
      <c r="F44" s="34">
        <f>Данные!K35</f>
        <v>0</v>
      </c>
      <c r="G44" s="17"/>
      <c r="H44" s="17"/>
      <c r="I44" s="17"/>
      <c r="J44" s="17"/>
      <c r="K44" s="17"/>
      <c r="L44" s="17"/>
      <c r="M44" s="17"/>
    </row>
    <row r="45" spans="1:13" x14ac:dyDescent="0.25">
      <c r="A45" s="31" t="str">
        <f>CONCATENATE("№",Данные!B36)</f>
        <v>№</v>
      </c>
      <c r="B45" s="32" t="str">
        <f>TEXT(Данные!C36,"ДД.ММ.ГГГГ\г\.")</f>
        <v>00.01.1900г.</v>
      </c>
      <c r="C45" s="143">
        <f>Данные!A36</f>
        <v>0</v>
      </c>
      <c r="D45" s="142"/>
      <c r="E45" s="33" t="str">
        <f>IF(Данные!I36 = 2, "МГ", "МН")</f>
        <v>МН</v>
      </c>
      <c r="F45" s="34">
        <f>Данные!K36</f>
        <v>0</v>
      </c>
      <c r="G45" s="17"/>
      <c r="H45" s="17"/>
      <c r="I45" s="17"/>
      <c r="J45" s="17"/>
      <c r="K45" s="17"/>
      <c r="L45" s="17"/>
      <c r="M45" s="17"/>
    </row>
    <row r="46" spans="1:13" x14ac:dyDescent="0.25">
      <c r="A46" s="31" t="str">
        <f>CONCATENATE("№",Данные!B37)</f>
        <v>№</v>
      </c>
      <c r="B46" s="32" t="str">
        <f>TEXT(Данные!C37,"ДД.ММ.ГГГГ\г\.")</f>
        <v>00.01.1900г.</v>
      </c>
      <c r="C46" s="143">
        <f>Данные!A37</f>
        <v>0</v>
      </c>
      <c r="D46" s="142"/>
      <c r="E46" s="33" t="str">
        <f>IF(Данные!I37 = 2, "МГ", "МН")</f>
        <v>МН</v>
      </c>
      <c r="F46" s="34">
        <f>Данные!K37</f>
        <v>0</v>
      </c>
      <c r="G46" s="17"/>
      <c r="H46" s="17"/>
      <c r="I46" s="17"/>
      <c r="J46" s="17"/>
      <c r="K46" s="17"/>
      <c r="L46" s="17"/>
      <c r="M46" s="17"/>
    </row>
    <row r="47" spans="1:13" x14ac:dyDescent="0.25">
      <c r="A47" s="31" t="str">
        <f>CONCATENATE("№",Данные!B38)</f>
        <v>№</v>
      </c>
      <c r="B47" s="32" t="str">
        <f>TEXT(Данные!C38,"ДД.ММ.ГГГГ\г\.")</f>
        <v>00.01.1900г.</v>
      </c>
      <c r="C47" s="143">
        <f>Данные!A38</f>
        <v>0</v>
      </c>
      <c r="D47" s="142"/>
      <c r="E47" s="33" t="str">
        <f>IF(Данные!I38 = 2, "МГ", "МН")</f>
        <v>МН</v>
      </c>
      <c r="F47" s="34">
        <f>Данные!K38</f>
        <v>0</v>
      </c>
      <c r="G47" s="17"/>
      <c r="H47" s="17"/>
      <c r="I47" s="17"/>
      <c r="J47" s="17"/>
      <c r="K47" s="17"/>
      <c r="L47" s="17"/>
      <c r="M47" s="17"/>
    </row>
    <row r="48" spans="1:13" x14ac:dyDescent="0.25">
      <c r="A48" s="31" t="str">
        <f>CONCATENATE("№",Данные!B39)</f>
        <v>№</v>
      </c>
      <c r="B48" s="32" t="str">
        <f>TEXT(Данные!C39,"ДД.ММ.ГГГГ\г\.")</f>
        <v>00.01.1900г.</v>
      </c>
      <c r="C48" s="143">
        <f>Данные!A39</f>
        <v>0</v>
      </c>
      <c r="D48" s="142"/>
      <c r="E48" s="33" t="str">
        <f>IF(Данные!I39 = 2, "МГ", "МН")</f>
        <v>МН</v>
      </c>
      <c r="F48" s="34">
        <f>Данные!K39</f>
        <v>0</v>
      </c>
      <c r="G48" s="17"/>
      <c r="H48" s="17"/>
      <c r="I48" s="17"/>
      <c r="J48" s="17"/>
      <c r="K48" s="17"/>
      <c r="L48" s="17"/>
      <c r="M48" s="17"/>
    </row>
    <row r="49" spans="1:13" x14ac:dyDescent="0.25">
      <c r="A49" s="31" t="str">
        <f>CONCATENATE("№",Данные!B40)</f>
        <v>№</v>
      </c>
      <c r="B49" s="32" t="str">
        <f>TEXT(Данные!C40,"ДД.ММ.ГГГГ\г\.")</f>
        <v>00.01.1900г.</v>
      </c>
      <c r="C49" s="143">
        <f>Данные!A40</f>
        <v>0</v>
      </c>
      <c r="D49" s="142"/>
      <c r="E49" s="33" t="str">
        <f>IF(Данные!I40 = 2, "МГ", "МН")</f>
        <v>МН</v>
      </c>
      <c r="F49" s="34">
        <f>Данные!K40</f>
        <v>0</v>
      </c>
      <c r="G49" s="17"/>
      <c r="H49" s="17"/>
      <c r="I49" s="17"/>
      <c r="J49" s="17"/>
      <c r="K49" s="17"/>
      <c r="L49" s="17"/>
      <c r="M49" s="17"/>
    </row>
    <row r="50" spans="1:13" x14ac:dyDescent="0.25">
      <c r="A50" s="31" t="str">
        <f>CONCATENATE("№",Данные!B41)</f>
        <v>№</v>
      </c>
      <c r="B50" s="32" t="str">
        <f>TEXT(Данные!C41,"ДД.ММ.ГГГГ\г\.")</f>
        <v>00.01.1900г.</v>
      </c>
      <c r="C50" s="143">
        <f>Данные!A41</f>
        <v>0</v>
      </c>
      <c r="D50" s="142"/>
      <c r="E50" s="33" t="str">
        <f>IF(Данные!I41 = 2, "МГ", "МН")</f>
        <v>МН</v>
      </c>
      <c r="F50" s="34">
        <f>Данные!K41</f>
        <v>0</v>
      </c>
      <c r="G50" s="17"/>
      <c r="H50" s="17"/>
      <c r="I50" s="17"/>
      <c r="J50" s="17"/>
      <c r="K50" s="17"/>
      <c r="L50" s="17"/>
      <c r="M50" s="17"/>
    </row>
    <row r="51" spans="1:13" x14ac:dyDescent="0.25">
      <c r="A51" s="31" t="str">
        <f>CONCATENATE("№",Данные!B42)</f>
        <v>№</v>
      </c>
      <c r="B51" s="32" t="str">
        <f>TEXT(Данные!C42,"ДД.ММ.ГГГГ\г\.")</f>
        <v>00.01.1900г.</v>
      </c>
      <c r="C51" s="143">
        <f>Данные!A42</f>
        <v>0</v>
      </c>
      <c r="D51" s="142"/>
      <c r="E51" s="33" t="str">
        <f>IF(Данные!I42 = 2, "МГ", "МН")</f>
        <v>МН</v>
      </c>
      <c r="F51" s="34">
        <f>Данные!K42</f>
        <v>0</v>
      </c>
      <c r="G51" s="17"/>
      <c r="H51" s="17"/>
      <c r="I51" s="17"/>
      <c r="J51" s="17"/>
      <c r="K51" s="17"/>
      <c r="L51" s="17"/>
      <c r="M51" s="17"/>
    </row>
    <row r="52" spans="1:13" x14ac:dyDescent="0.25">
      <c r="A52" s="31" t="str">
        <f>CONCATENATE("№",Данные!B43)</f>
        <v>№</v>
      </c>
      <c r="B52" s="32" t="str">
        <f>TEXT(Данные!C43,"ДД.ММ.ГГГГ\г\.")</f>
        <v>00.01.1900г.</v>
      </c>
      <c r="C52" s="143">
        <f>Данные!A43</f>
        <v>0</v>
      </c>
      <c r="D52" s="142"/>
      <c r="E52" s="33" t="str">
        <f>IF(Данные!I43 = 2, "МГ", "МН")</f>
        <v>МН</v>
      </c>
      <c r="F52" s="34">
        <f>Данные!K43</f>
        <v>0</v>
      </c>
      <c r="G52" s="17"/>
      <c r="H52" s="17"/>
      <c r="I52" s="17"/>
      <c r="J52" s="17"/>
      <c r="K52" s="17"/>
      <c r="L52" s="17"/>
      <c r="M52" s="17"/>
    </row>
    <row r="53" spans="1:13" x14ac:dyDescent="0.25">
      <c r="A53" s="31" t="str">
        <f>CONCATENATE("№",Данные!B44)</f>
        <v>№</v>
      </c>
      <c r="B53" s="32" t="str">
        <f>TEXT(Данные!C44,"ДД.ММ.ГГГГ\г\.")</f>
        <v>00.01.1900г.</v>
      </c>
      <c r="C53" s="143">
        <f>Данные!A44</f>
        <v>0</v>
      </c>
      <c r="D53" s="142"/>
      <c r="E53" s="33" t="str">
        <f>IF(Данные!I44 = 2, "МГ", "МН")</f>
        <v>МН</v>
      </c>
      <c r="F53" s="34">
        <f>Данные!K44</f>
        <v>0</v>
      </c>
      <c r="G53" s="17"/>
      <c r="H53" s="17"/>
      <c r="I53" s="17"/>
      <c r="J53" s="17"/>
      <c r="K53" s="17"/>
      <c r="L53" s="17"/>
      <c r="M53" s="17"/>
    </row>
    <row r="54" spans="1:13" x14ac:dyDescent="0.25">
      <c r="A54" s="31" t="str">
        <f>CONCATENATE("№",Данные!B45)</f>
        <v>№</v>
      </c>
      <c r="B54" s="32" t="str">
        <f>TEXT(Данные!C45,"ДД.ММ.ГГГГ\г\.")</f>
        <v>00.01.1900г.</v>
      </c>
      <c r="C54" s="143">
        <f>Данные!A45</f>
        <v>0</v>
      </c>
      <c r="D54" s="142"/>
      <c r="E54" s="33" t="str">
        <f>IF(Данные!I45 = 2, "МГ", "МН")</f>
        <v>МН</v>
      </c>
      <c r="F54" s="34">
        <f>Данные!K45</f>
        <v>0</v>
      </c>
      <c r="G54" s="17"/>
      <c r="H54" s="17"/>
      <c r="I54" s="17"/>
      <c r="J54" s="17"/>
      <c r="K54" s="17"/>
      <c r="L54" s="17"/>
      <c r="M54" s="17"/>
    </row>
    <row r="55" spans="1:13" x14ac:dyDescent="0.25">
      <c r="A55" s="31" t="str">
        <f>CONCATENATE("№",Данные!B46)</f>
        <v>№</v>
      </c>
      <c r="B55" s="32" t="str">
        <f>TEXT(Данные!C46,"ДД.ММ.ГГГГ\г\.")</f>
        <v>00.01.1900г.</v>
      </c>
      <c r="C55" s="143">
        <f>Данные!A46</f>
        <v>0</v>
      </c>
      <c r="D55" s="142"/>
      <c r="E55" s="33" t="str">
        <f>IF(Данные!I46 = 2, "МГ", "МН")</f>
        <v>МН</v>
      </c>
      <c r="F55" s="34">
        <f>Данные!K46</f>
        <v>0</v>
      </c>
      <c r="G55" s="17"/>
      <c r="H55" s="17"/>
      <c r="I55" s="17"/>
      <c r="J55" s="17"/>
      <c r="K55" s="17"/>
      <c r="L55" s="17"/>
      <c r="M55" s="17"/>
    </row>
    <row r="56" spans="1:13" x14ac:dyDescent="0.25">
      <c r="A56" s="31" t="str">
        <f>CONCATENATE("№",Данные!B47)</f>
        <v>№</v>
      </c>
      <c r="B56" s="32" t="str">
        <f>TEXT(Данные!C47,"ДД.ММ.ГГГГ\г\.")</f>
        <v>00.01.1900г.</v>
      </c>
      <c r="C56" s="143">
        <f>Данные!A47</f>
        <v>0</v>
      </c>
      <c r="D56" s="142"/>
      <c r="E56" s="33" t="str">
        <f>IF(Данные!I47 = 2, "МГ", "МН")</f>
        <v>МН</v>
      </c>
      <c r="F56" s="34">
        <f>Данные!K47</f>
        <v>0</v>
      </c>
      <c r="G56" s="17"/>
      <c r="H56" s="17"/>
      <c r="I56" s="17"/>
      <c r="J56" s="17"/>
      <c r="K56" s="17"/>
      <c r="L56" s="17"/>
      <c r="M56" s="17"/>
    </row>
    <row r="57" spans="1:13" x14ac:dyDescent="0.25">
      <c r="A57" s="31" t="str">
        <f>CONCATENATE("№",Данные!B48)</f>
        <v>№</v>
      </c>
      <c r="B57" s="32" t="str">
        <f>TEXT(Данные!C48,"ДД.ММ.ГГГГ\г\.")</f>
        <v>00.01.1900г.</v>
      </c>
      <c r="C57" s="143">
        <f>Данные!A48</f>
        <v>0</v>
      </c>
      <c r="D57" s="142"/>
      <c r="E57" s="33" t="str">
        <f>IF(Данные!I48 = 2, "МГ", "МН")</f>
        <v>МН</v>
      </c>
      <c r="F57" s="34">
        <f>Данные!K48</f>
        <v>0</v>
      </c>
      <c r="G57" s="17"/>
      <c r="H57" s="17"/>
      <c r="I57" s="17"/>
      <c r="J57" s="17"/>
      <c r="K57" s="17"/>
      <c r="L57" s="17"/>
      <c r="M57" s="17"/>
    </row>
    <row r="58" spans="1:13" x14ac:dyDescent="0.25">
      <c r="A58" s="31" t="str">
        <f>CONCATENATE("№",Данные!B49)</f>
        <v>№</v>
      </c>
      <c r="B58" s="32" t="str">
        <f>TEXT(Данные!C49,"ДД.ММ.ГГГГ\г\.")</f>
        <v>00.01.1900г.</v>
      </c>
      <c r="C58" s="143">
        <f>Данные!A49</f>
        <v>0</v>
      </c>
      <c r="D58" s="142"/>
      <c r="E58" s="33" t="str">
        <f>IF(Данные!I49 = 2, "МГ", "МН")</f>
        <v>МН</v>
      </c>
      <c r="F58" s="34">
        <f>Данные!K49</f>
        <v>0</v>
      </c>
      <c r="G58" s="17"/>
      <c r="H58" s="17"/>
      <c r="I58" s="17"/>
      <c r="J58" s="17"/>
      <c r="K58" s="17"/>
      <c r="L58" s="17"/>
      <c r="M58" s="17"/>
    </row>
    <row r="59" spans="1:13" x14ac:dyDescent="0.25">
      <c r="A59" s="31" t="str">
        <f>CONCATENATE("№",Данные!B50)</f>
        <v>№</v>
      </c>
      <c r="B59" s="32" t="str">
        <f>TEXT(Данные!C50,"ДД.ММ.ГГГГ\г\.")</f>
        <v>00.01.1900г.</v>
      </c>
      <c r="C59" s="143">
        <f>Данные!A50</f>
        <v>0</v>
      </c>
      <c r="D59" s="142"/>
      <c r="E59" s="33" t="str">
        <f>IF(Данные!I50 = 2, "МГ", "МН")</f>
        <v>МН</v>
      </c>
      <c r="F59" s="34">
        <f>Данные!K50</f>
        <v>0</v>
      </c>
      <c r="G59" s="17"/>
      <c r="H59" s="17"/>
      <c r="I59" s="17"/>
      <c r="J59" s="17"/>
      <c r="K59" s="17"/>
      <c r="L59" s="17"/>
      <c r="M59" s="17"/>
    </row>
    <row r="60" spans="1:13" x14ac:dyDescent="0.25">
      <c r="A60" s="31" t="str">
        <f>CONCATENATE("№",Данные!B51)</f>
        <v>№</v>
      </c>
      <c r="B60" s="32" t="str">
        <f>TEXT(Данные!C51,"ДД.ММ.ГГГГ\г\.")</f>
        <v>00.01.1900г.</v>
      </c>
      <c r="C60" s="143">
        <f>Данные!A51</f>
        <v>0</v>
      </c>
      <c r="D60" s="142"/>
      <c r="E60" s="33" t="str">
        <f>IF(Данные!I51 = 2, "МГ", "МН")</f>
        <v>МН</v>
      </c>
      <c r="F60" s="34">
        <f>Данные!K51</f>
        <v>0</v>
      </c>
      <c r="G60" s="17"/>
      <c r="H60" s="17"/>
      <c r="I60" s="17"/>
      <c r="J60" s="17"/>
      <c r="K60" s="17"/>
      <c r="L60" s="17"/>
      <c r="M60" s="17"/>
    </row>
    <row r="61" spans="1:13" x14ac:dyDescent="0.25">
      <c r="A61" s="31" t="str">
        <f>CONCATENATE("№",Данные!B52)</f>
        <v>№</v>
      </c>
      <c r="B61" s="32" t="str">
        <f>TEXT(Данные!C52,"ДД.ММ.ГГГГ\г\.")</f>
        <v>00.01.1900г.</v>
      </c>
      <c r="C61" s="143">
        <f>Данные!A52</f>
        <v>0</v>
      </c>
      <c r="D61" s="142"/>
      <c r="E61" s="33" t="str">
        <f>IF(Данные!I52 = 2, "МГ", "МН")</f>
        <v>МН</v>
      </c>
      <c r="F61" s="34">
        <f>Данные!K52</f>
        <v>0</v>
      </c>
      <c r="G61" s="17"/>
      <c r="H61" s="17"/>
      <c r="I61" s="17"/>
      <c r="J61" s="17"/>
      <c r="K61" s="17"/>
      <c r="L61" s="17"/>
      <c r="M61" s="17"/>
    </row>
    <row r="62" spans="1:13" x14ac:dyDescent="0.25">
      <c r="A62" s="31" t="str">
        <f>CONCATENATE("№",Данные!B53)</f>
        <v>№</v>
      </c>
      <c r="B62" s="32" t="str">
        <f>TEXT(Данные!C53,"ДД.ММ.ГГГГ\г\.")</f>
        <v>00.01.1900г.</v>
      </c>
      <c r="C62" s="143">
        <f>Данные!A53</f>
        <v>0</v>
      </c>
      <c r="D62" s="142"/>
      <c r="E62" s="33" t="str">
        <f>IF(Данные!I53 = 2, "МГ", "МН")</f>
        <v>МН</v>
      </c>
      <c r="F62" s="34">
        <f>Данные!K53</f>
        <v>0</v>
      </c>
      <c r="G62" s="17"/>
      <c r="H62" s="17"/>
      <c r="I62" s="17"/>
      <c r="J62" s="17"/>
      <c r="K62" s="17"/>
      <c r="L62" s="17"/>
      <c r="M62" s="17"/>
    </row>
    <row r="63" spans="1:13" x14ac:dyDescent="0.25">
      <c r="A63" s="31" t="str">
        <f>CONCATENATE("№",Данные!B54)</f>
        <v>№</v>
      </c>
      <c r="B63" s="32" t="str">
        <f>TEXT(Данные!C54,"ДД.ММ.ГГГГ\г\.")</f>
        <v>00.01.1900г.</v>
      </c>
      <c r="C63" s="143">
        <f>Данные!A54</f>
        <v>0</v>
      </c>
      <c r="D63" s="142"/>
      <c r="E63" s="33" t="str">
        <f>IF(Данные!I54 = 2, "МГ", "МН")</f>
        <v>МН</v>
      </c>
      <c r="F63" s="34">
        <f>Данные!K54</f>
        <v>0</v>
      </c>
      <c r="G63" s="17"/>
      <c r="H63" s="17"/>
      <c r="I63" s="17"/>
      <c r="J63" s="17"/>
      <c r="K63" s="17"/>
      <c r="L63" s="17"/>
      <c r="M63" s="17"/>
    </row>
    <row r="64" spans="1:13" x14ac:dyDescent="0.25">
      <c r="A64" s="31" t="str">
        <f>CONCATENATE("№",Данные!B55)</f>
        <v>№</v>
      </c>
      <c r="B64" s="32" t="str">
        <f>TEXT(Данные!C55,"ДД.ММ.ГГГГ\г\.")</f>
        <v>00.01.1900г.</v>
      </c>
      <c r="C64" s="143">
        <f>Данные!A55</f>
        <v>0</v>
      </c>
      <c r="D64" s="142"/>
      <c r="E64" s="33" t="str">
        <f>IF(Данные!I55 = 2, "МГ", "МН")</f>
        <v>МН</v>
      </c>
      <c r="F64" s="34">
        <f>Данные!K55</f>
        <v>0</v>
      </c>
      <c r="G64" s="17"/>
      <c r="H64" s="17"/>
      <c r="I64" s="17"/>
      <c r="J64" s="17"/>
      <c r="K64" s="17"/>
      <c r="L64" s="17"/>
      <c r="M64" s="17"/>
    </row>
    <row r="65" spans="1:13" x14ac:dyDescent="0.25">
      <c r="A65" s="31" t="str">
        <f>CONCATENATE("№",Данные!B56)</f>
        <v>№</v>
      </c>
      <c r="B65" s="32" t="str">
        <f>TEXT(Данные!C56,"ДД.ММ.ГГГГ\г\.")</f>
        <v>00.01.1900г.</v>
      </c>
      <c r="C65" s="143">
        <f>Данные!A56</f>
        <v>0</v>
      </c>
      <c r="D65" s="142"/>
      <c r="E65" s="33" t="str">
        <f>IF(Данные!I56 = 2, "МГ", "МН")</f>
        <v>МН</v>
      </c>
      <c r="F65" s="34">
        <f>Данные!K56</f>
        <v>0</v>
      </c>
      <c r="G65" s="17"/>
      <c r="H65" s="17"/>
      <c r="I65" s="17"/>
      <c r="J65" s="17"/>
      <c r="K65" s="17"/>
      <c r="L65" s="17"/>
      <c r="M65" s="17"/>
    </row>
    <row r="66" spans="1:13" x14ac:dyDescent="0.25">
      <c r="A66" s="31" t="str">
        <f>CONCATENATE("№",Данные!B57)</f>
        <v>№</v>
      </c>
      <c r="B66" s="32" t="str">
        <f>TEXT(Данные!C57,"ДД.ММ.ГГГГ\г\.")</f>
        <v>00.01.1900г.</v>
      </c>
      <c r="C66" s="143">
        <f>Данные!A57</f>
        <v>0</v>
      </c>
      <c r="D66" s="142"/>
      <c r="E66" s="33" t="str">
        <f>IF(Данные!I57 = 2, "МГ", "МН")</f>
        <v>МН</v>
      </c>
      <c r="F66" s="34">
        <f>Данные!K57</f>
        <v>0</v>
      </c>
      <c r="G66" s="17"/>
      <c r="H66" s="17"/>
      <c r="I66" s="17"/>
      <c r="J66" s="17"/>
      <c r="K66" s="17"/>
      <c r="L66" s="17"/>
      <c r="M66" s="17"/>
    </row>
    <row r="67" spans="1:13" x14ac:dyDescent="0.25">
      <c r="A67" s="31" t="str">
        <f>CONCATENATE("№",Данные!B58)</f>
        <v>№</v>
      </c>
      <c r="B67" s="32" t="str">
        <f>TEXT(Данные!C58,"ДД.ММ.ГГГГ\г\.")</f>
        <v>00.01.1900г.</v>
      </c>
      <c r="C67" s="143">
        <f>Данные!A58</f>
        <v>0</v>
      </c>
      <c r="D67" s="142"/>
      <c r="E67" s="33" t="str">
        <f>IF(Данные!I58 = 2, "МГ", "МН")</f>
        <v>МН</v>
      </c>
      <c r="F67" s="34">
        <f>Данные!K58</f>
        <v>0</v>
      </c>
      <c r="G67" s="17"/>
      <c r="H67" s="17"/>
      <c r="I67" s="17"/>
      <c r="J67" s="17"/>
      <c r="K67" s="17"/>
      <c r="L67" s="17"/>
      <c r="M67" s="17"/>
    </row>
    <row r="68" spans="1:13" x14ac:dyDescent="0.25">
      <c r="A68" s="31" t="str">
        <f>CONCATENATE("№",Данные!B59)</f>
        <v>№</v>
      </c>
      <c r="B68" s="32" t="str">
        <f>TEXT(Данные!C59,"ДД.ММ.ГГГГ\г\.")</f>
        <v>00.01.1900г.</v>
      </c>
      <c r="C68" s="143">
        <f>Данные!A59</f>
        <v>0</v>
      </c>
      <c r="D68" s="142"/>
      <c r="E68" s="33" t="str">
        <f>IF(Данные!I59 = 2, "МГ", "МН")</f>
        <v>МН</v>
      </c>
      <c r="F68" s="34">
        <f>Данные!K59</f>
        <v>0</v>
      </c>
      <c r="G68" s="17"/>
      <c r="H68" s="17"/>
      <c r="I68" s="17"/>
      <c r="J68" s="17"/>
      <c r="K68" s="17"/>
      <c r="L68" s="17"/>
      <c r="M68" s="17"/>
    </row>
    <row r="69" spans="1:13" x14ac:dyDescent="0.25">
      <c r="A69" s="31" t="str">
        <f>CONCATENATE("№",Данные!B60)</f>
        <v>№</v>
      </c>
      <c r="B69" s="32" t="str">
        <f>TEXT(Данные!C60,"ДД.ММ.ГГГГ\г\.")</f>
        <v>00.01.1900г.</v>
      </c>
      <c r="C69" s="143">
        <f>Данные!A60</f>
        <v>0</v>
      </c>
      <c r="D69" s="142"/>
      <c r="E69" s="33" t="str">
        <f>IF(Данные!I60 = 2, "МГ", "МН")</f>
        <v>МН</v>
      </c>
      <c r="F69" s="34">
        <f>Данные!K60</f>
        <v>0</v>
      </c>
      <c r="G69" s="17"/>
      <c r="H69" s="17"/>
      <c r="I69" s="17"/>
      <c r="J69" s="17"/>
      <c r="K69" s="17"/>
      <c r="L69" s="17"/>
      <c r="M69" s="17"/>
    </row>
    <row r="70" spans="1:13" x14ac:dyDescent="0.25">
      <c r="A70" s="31" t="str">
        <f>CONCATENATE("№",Данные!B61)</f>
        <v>№</v>
      </c>
      <c r="B70" s="32" t="str">
        <f>TEXT(Данные!C61,"ДД.ММ.ГГГГ\г\.")</f>
        <v>00.01.1900г.</v>
      </c>
      <c r="C70" s="143">
        <f>Данные!A61</f>
        <v>0</v>
      </c>
      <c r="D70" s="142"/>
      <c r="E70" s="33" t="str">
        <f>IF(Данные!I61 = 2, "МГ", "МН")</f>
        <v>МН</v>
      </c>
      <c r="F70" s="34">
        <f>Данные!K61</f>
        <v>0</v>
      </c>
      <c r="G70" s="17"/>
      <c r="H70" s="17"/>
      <c r="I70" s="17"/>
      <c r="J70" s="17"/>
      <c r="K70" s="17"/>
      <c r="L70" s="17"/>
      <c r="M70" s="17"/>
    </row>
    <row r="71" spans="1:13" x14ac:dyDescent="0.25">
      <c r="A71" s="31" t="str">
        <f>CONCATENATE("№",Данные!B62)</f>
        <v>№</v>
      </c>
      <c r="B71" s="32" t="str">
        <f>TEXT(Данные!C62,"ДД.ММ.ГГГГ\г\.")</f>
        <v>00.01.1900г.</v>
      </c>
      <c r="C71" s="143">
        <f>Данные!A62</f>
        <v>0</v>
      </c>
      <c r="D71" s="142"/>
      <c r="E71" s="33" t="str">
        <f>IF(Данные!I62 = 2, "МГ", "МН")</f>
        <v>МН</v>
      </c>
      <c r="F71" s="34">
        <f>Данные!K62</f>
        <v>0</v>
      </c>
      <c r="G71" s="17"/>
      <c r="H71" s="17"/>
      <c r="I71" s="17"/>
      <c r="J71" s="17"/>
      <c r="K71" s="17"/>
      <c r="L71" s="17"/>
      <c r="M71" s="17"/>
    </row>
    <row r="72" spans="1:13" x14ac:dyDescent="0.25">
      <c r="A72" s="31" t="str">
        <f>CONCATENATE("№",Данные!B63)</f>
        <v>№</v>
      </c>
      <c r="B72" s="32" t="str">
        <f>TEXT(Данные!C63,"ДД.ММ.ГГГГ\г\.")</f>
        <v>00.01.1900г.</v>
      </c>
      <c r="C72" s="143">
        <f>Данные!A63</f>
        <v>0</v>
      </c>
      <c r="D72" s="142"/>
      <c r="E72" s="33" t="str">
        <f>IF(Данные!I63 = 2, "МГ", "МН")</f>
        <v>МН</v>
      </c>
      <c r="F72" s="34">
        <f>Данные!K63</f>
        <v>0</v>
      </c>
      <c r="G72" s="17"/>
      <c r="H72" s="17"/>
      <c r="I72" s="17"/>
      <c r="J72" s="17"/>
      <c r="K72" s="17"/>
      <c r="L72" s="17"/>
      <c r="M72" s="17"/>
    </row>
    <row r="73" spans="1:13" x14ac:dyDescent="0.25">
      <c r="A73" s="31" t="str">
        <f>CONCATENATE("№",Данные!B64)</f>
        <v>№</v>
      </c>
      <c r="B73" s="32" t="str">
        <f>TEXT(Данные!C64,"ДД.ММ.ГГГГ\г\.")</f>
        <v>00.01.1900г.</v>
      </c>
      <c r="C73" s="143">
        <f>Данные!A64</f>
        <v>0</v>
      </c>
      <c r="D73" s="142"/>
      <c r="E73" s="33" t="str">
        <f>IF(Данные!I64 = 2, "МГ", "МН")</f>
        <v>МН</v>
      </c>
      <c r="F73" s="34">
        <f>Данные!K64</f>
        <v>0</v>
      </c>
      <c r="G73" s="17"/>
      <c r="H73" s="17"/>
      <c r="I73" s="17"/>
      <c r="J73" s="17"/>
      <c r="K73" s="17"/>
      <c r="L73" s="17"/>
      <c r="M73" s="17"/>
    </row>
    <row r="74" spans="1:13" x14ac:dyDescent="0.25">
      <c r="A74" s="31" t="str">
        <f>CONCATENATE("№",Данные!B65)</f>
        <v>№</v>
      </c>
      <c r="B74" s="32" t="str">
        <f>TEXT(Данные!C65,"ДД.ММ.ГГГГ\г\.")</f>
        <v>00.01.1900г.</v>
      </c>
      <c r="C74" s="143">
        <f>Данные!A65</f>
        <v>0</v>
      </c>
      <c r="D74" s="142"/>
      <c r="E74" s="33" t="str">
        <f>IF(Данные!I65 = 2, "МГ", "МН")</f>
        <v>МН</v>
      </c>
      <c r="F74" s="34">
        <f>Данные!K65</f>
        <v>0</v>
      </c>
      <c r="G74" s="17"/>
      <c r="H74" s="17"/>
      <c r="I74" s="17"/>
      <c r="J74" s="17"/>
      <c r="K74" s="17"/>
      <c r="L74" s="17"/>
      <c r="M74" s="17"/>
    </row>
    <row r="75" spans="1:13" x14ac:dyDescent="0.25">
      <c r="A75" s="31" t="str">
        <f>CONCATENATE("№",Данные!B66)</f>
        <v>№</v>
      </c>
      <c r="B75" s="32" t="str">
        <f>TEXT(Данные!C66,"ДД.ММ.ГГГГ\г\.")</f>
        <v>00.01.1900г.</v>
      </c>
      <c r="C75" s="143">
        <f>Данные!A66</f>
        <v>0</v>
      </c>
      <c r="D75" s="142"/>
      <c r="E75" s="33" t="str">
        <f>IF(Данные!I66 = 2, "МГ", "МН")</f>
        <v>МН</v>
      </c>
      <c r="F75" s="34">
        <f>Данные!K66</f>
        <v>0</v>
      </c>
      <c r="G75" s="17"/>
      <c r="H75" s="17"/>
      <c r="I75" s="17"/>
      <c r="J75" s="17"/>
      <c r="K75" s="17"/>
      <c r="L75" s="17"/>
      <c r="M75" s="17"/>
    </row>
    <row r="76" spans="1:13" x14ac:dyDescent="0.25">
      <c r="A76" s="31" t="str">
        <f>CONCATENATE("№",Данные!B67)</f>
        <v>№</v>
      </c>
      <c r="B76" s="32" t="str">
        <f>TEXT(Данные!C67,"ДД.ММ.ГГГГ\г\.")</f>
        <v>00.01.1900г.</v>
      </c>
      <c r="C76" s="143">
        <f>Данные!A67</f>
        <v>0</v>
      </c>
      <c r="D76" s="142"/>
      <c r="E76" s="33" t="str">
        <f>IF(Данные!I67 = 2, "МГ", "МН")</f>
        <v>МН</v>
      </c>
      <c r="F76" s="34">
        <f>Данные!K67</f>
        <v>0</v>
      </c>
      <c r="G76" s="17"/>
      <c r="H76" s="17"/>
      <c r="I76" s="17"/>
      <c r="J76" s="17"/>
      <c r="K76" s="17"/>
      <c r="L76" s="17"/>
      <c r="M76" s="17"/>
    </row>
    <row r="77" spans="1:13" x14ac:dyDescent="0.25">
      <c r="A77" s="31" t="str">
        <f>CONCATENATE("№",Данные!B68)</f>
        <v>№</v>
      </c>
      <c r="B77" s="32" t="str">
        <f>TEXT(Данные!C68,"ДД.ММ.ГГГГ\г\.")</f>
        <v>00.01.1900г.</v>
      </c>
      <c r="C77" s="143">
        <f>Данные!A68</f>
        <v>0</v>
      </c>
      <c r="D77" s="142"/>
      <c r="E77" s="33" t="str">
        <f>IF(Данные!I68 = 2, "МГ", "МН")</f>
        <v>МН</v>
      </c>
      <c r="F77" s="34">
        <f>Данные!K68</f>
        <v>0</v>
      </c>
      <c r="G77" s="17"/>
      <c r="H77" s="17"/>
      <c r="I77" s="17"/>
      <c r="J77" s="17"/>
      <c r="K77" s="17"/>
      <c r="L77" s="17"/>
      <c r="M77" s="17"/>
    </row>
    <row r="78" spans="1:13" x14ac:dyDescent="0.25">
      <c r="A78" s="31" t="str">
        <f>CONCATENATE("№",Данные!B69)</f>
        <v>№</v>
      </c>
      <c r="B78" s="32" t="str">
        <f>TEXT(Данные!C69,"ДД.ММ.ГГГГ\г\.")</f>
        <v>00.01.1900г.</v>
      </c>
      <c r="C78" s="143">
        <f>Данные!A69</f>
        <v>0</v>
      </c>
      <c r="D78" s="142"/>
      <c r="E78" s="33" t="str">
        <f>IF(Данные!I69 = 2, "МГ", "МН")</f>
        <v>МН</v>
      </c>
      <c r="F78" s="34">
        <f>Данные!K69</f>
        <v>0</v>
      </c>
      <c r="G78" s="17"/>
      <c r="H78" s="17"/>
      <c r="I78" s="17"/>
      <c r="J78" s="17"/>
      <c r="K78" s="17"/>
      <c r="L78" s="17"/>
      <c r="M78" s="17"/>
    </row>
    <row r="79" spans="1:13" x14ac:dyDescent="0.25">
      <c r="A79" s="31" t="str">
        <f>CONCATENATE("№",Данные!B70)</f>
        <v>№</v>
      </c>
      <c r="B79" s="32" t="str">
        <f>TEXT(Данные!C70,"ДД.ММ.ГГГГ\г\.")</f>
        <v>00.01.1900г.</v>
      </c>
      <c r="C79" s="143">
        <f>Данные!A70</f>
        <v>0</v>
      </c>
      <c r="D79" s="142"/>
      <c r="E79" s="33" t="str">
        <f>IF(Данные!I70 = 2, "МГ", "МН")</f>
        <v>МН</v>
      </c>
      <c r="F79" s="34">
        <f>Данные!K70</f>
        <v>0</v>
      </c>
      <c r="G79" s="17"/>
      <c r="H79" s="17"/>
      <c r="I79" s="17"/>
      <c r="J79" s="17"/>
      <c r="K79" s="17"/>
      <c r="L79" s="17"/>
      <c r="M79" s="17"/>
    </row>
    <row r="80" spans="1:13" x14ac:dyDescent="0.25">
      <c r="A80" s="31" t="str">
        <f>CONCATENATE("№",Данные!B71)</f>
        <v>№</v>
      </c>
      <c r="B80" s="32" t="str">
        <f>TEXT(Данные!C71,"ДД.ММ.ГГГГ\г\.")</f>
        <v>00.01.1900г.</v>
      </c>
      <c r="C80" s="143">
        <f>Данные!A71</f>
        <v>0</v>
      </c>
      <c r="D80" s="142"/>
      <c r="E80" s="33" t="str">
        <f>IF(Данные!I71 = 2, "МГ", "МН")</f>
        <v>МН</v>
      </c>
      <c r="F80" s="34">
        <f>Данные!K71</f>
        <v>0</v>
      </c>
      <c r="G80" s="17"/>
      <c r="H80" s="17"/>
      <c r="I80" s="17"/>
      <c r="J80" s="17"/>
      <c r="K80" s="17"/>
      <c r="L80" s="17"/>
      <c r="M80" s="17"/>
    </row>
    <row r="81" spans="1:13" x14ac:dyDescent="0.25">
      <c r="A81" s="31" t="str">
        <f>CONCATENATE("№",Данные!B72)</f>
        <v>№</v>
      </c>
      <c r="B81" s="32" t="str">
        <f>TEXT(Данные!C72,"ДД.ММ.ГГГГ\г\.")</f>
        <v>00.01.1900г.</v>
      </c>
      <c r="C81" s="143">
        <f>Данные!A72</f>
        <v>0</v>
      </c>
      <c r="D81" s="142"/>
      <c r="E81" s="33" t="str">
        <f>IF(Данные!I72 = 2, "МГ", "МН")</f>
        <v>МН</v>
      </c>
      <c r="F81" s="34">
        <f>Данные!K72</f>
        <v>0</v>
      </c>
      <c r="G81" s="17"/>
      <c r="H81" s="17"/>
      <c r="I81" s="17"/>
      <c r="J81" s="17"/>
      <c r="K81" s="17"/>
      <c r="L81" s="17"/>
      <c r="M81" s="17"/>
    </row>
    <row r="82" spans="1:13" x14ac:dyDescent="0.25">
      <c r="A82" s="31" t="str">
        <f>CONCATENATE("№",Данные!B73)</f>
        <v>№</v>
      </c>
      <c r="B82" s="32" t="str">
        <f>TEXT(Данные!C73,"ДД.ММ.ГГГГ\г\.")</f>
        <v>00.01.1900г.</v>
      </c>
      <c r="C82" s="143">
        <f>Данные!A73</f>
        <v>0</v>
      </c>
      <c r="D82" s="142"/>
      <c r="E82" s="33" t="str">
        <f>IF(Данные!I73 = 2, "МГ", "МН")</f>
        <v>МН</v>
      </c>
      <c r="F82" s="34">
        <f>Данные!K73</f>
        <v>0</v>
      </c>
      <c r="G82" s="17"/>
      <c r="H82" s="17"/>
      <c r="I82" s="17"/>
      <c r="J82" s="17"/>
      <c r="K82" s="17"/>
      <c r="L82" s="17"/>
      <c r="M82" s="17"/>
    </row>
    <row r="83" spans="1:13" x14ac:dyDescent="0.25">
      <c r="A83" s="31" t="str">
        <f>CONCATENATE("№",Данные!B74)</f>
        <v>№</v>
      </c>
      <c r="B83" s="32" t="str">
        <f>TEXT(Данные!C74,"ДД.ММ.ГГГГ\г\.")</f>
        <v>00.01.1900г.</v>
      </c>
      <c r="C83" s="143">
        <f>Данные!A74</f>
        <v>0</v>
      </c>
      <c r="D83" s="142"/>
      <c r="E83" s="33" t="str">
        <f>IF(Данные!I74 = 2, "МГ", "МН")</f>
        <v>МН</v>
      </c>
      <c r="F83" s="34">
        <f>Данные!K74</f>
        <v>0</v>
      </c>
      <c r="G83" s="17"/>
      <c r="H83" s="17"/>
      <c r="I83" s="17"/>
      <c r="J83" s="17"/>
      <c r="K83" s="17"/>
      <c r="L83" s="17"/>
      <c r="M83" s="17"/>
    </row>
    <row r="84" spans="1:13" x14ac:dyDescent="0.25">
      <c r="A84" s="31" t="str">
        <f>CONCATENATE("№",Данные!B75)</f>
        <v>№</v>
      </c>
      <c r="B84" s="32" t="str">
        <f>TEXT(Данные!C75,"ДД.ММ.ГГГГ\г\.")</f>
        <v>00.01.1900г.</v>
      </c>
      <c r="C84" s="143">
        <f>Данные!A75</f>
        <v>0</v>
      </c>
      <c r="D84" s="142"/>
      <c r="E84" s="33" t="str">
        <f>IF(Данные!I75 = 2, "МГ", "МН")</f>
        <v>МН</v>
      </c>
      <c r="F84" s="34">
        <f>Данные!K75</f>
        <v>0</v>
      </c>
      <c r="G84" s="17"/>
      <c r="H84" s="17"/>
      <c r="I84" s="17"/>
      <c r="J84" s="17"/>
      <c r="K84" s="17"/>
      <c r="L84" s="17"/>
      <c r="M84" s="17"/>
    </row>
    <row r="85" spans="1:13" x14ac:dyDescent="0.25">
      <c r="A85" s="31" t="str">
        <f>CONCATENATE("№",Данные!B76)</f>
        <v>№</v>
      </c>
      <c r="B85" s="32" t="str">
        <f>TEXT(Данные!C76,"ДД.ММ.ГГГГ\г\.")</f>
        <v>00.01.1900г.</v>
      </c>
      <c r="C85" s="143">
        <f>Данные!A76</f>
        <v>0</v>
      </c>
      <c r="D85" s="142"/>
      <c r="E85" s="33" t="str">
        <f>IF(Данные!I76 = 2, "МГ", "МН")</f>
        <v>МН</v>
      </c>
      <c r="F85" s="34">
        <f>Данные!K76</f>
        <v>0</v>
      </c>
      <c r="G85" s="17"/>
      <c r="H85" s="17"/>
      <c r="I85" s="17"/>
      <c r="J85" s="17"/>
      <c r="K85" s="17"/>
      <c r="L85" s="17"/>
      <c r="M85" s="17"/>
    </row>
    <row r="86" spans="1:13" x14ac:dyDescent="0.25">
      <c r="A86" s="31" t="str">
        <f>CONCATENATE("№",Данные!B77)</f>
        <v>№</v>
      </c>
      <c r="B86" s="32" t="str">
        <f>TEXT(Данные!C77,"ДД.ММ.ГГГГ\г\.")</f>
        <v>00.01.1900г.</v>
      </c>
      <c r="C86" s="143">
        <f>Данные!A77</f>
        <v>0</v>
      </c>
      <c r="D86" s="142"/>
      <c r="E86" s="33" t="str">
        <f>IF(Данные!I77 = 2, "МГ", "МН")</f>
        <v>МН</v>
      </c>
      <c r="F86" s="34">
        <f>Данные!K77</f>
        <v>0</v>
      </c>
      <c r="G86" s="17"/>
      <c r="H86" s="17"/>
      <c r="I86" s="17"/>
      <c r="J86" s="17"/>
      <c r="K86" s="17"/>
      <c r="L86" s="17"/>
      <c r="M86" s="17"/>
    </row>
    <row r="87" spans="1:13" x14ac:dyDescent="0.25">
      <c r="A87" s="31" t="str">
        <f>CONCATENATE("№",Данные!B78)</f>
        <v>№</v>
      </c>
      <c r="B87" s="32" t="str">
        <f>TEXT(Данные!C78,"ДД.ММ.ГГГГ\г\.")</f>
        <v>00.01.1900г.</v>
      </c>
      <c r="C87" s="143">
        <f>Данные!A78</f>
        <v>0</v>
      </c>
      <c r="D87" s="142"/>
      <c r="E87" s="33" t="str">
        <f>IF(Данные!I78 = 2, "МГ", "МН")</f>
        <v>МН</v>
      </c>
      <c r="F87" s="34">
        <f>Данные!K78</f>
        <v>0</v>
      </c>
      <c r="G87" s="17"/>
      <c r="H87" s="17"/>
      <c r="I87" s="17"/>
      <c r="J87" s="17"/>
      <c r="K87" s="17"/>
      <c r="L87" s="17"/>
      <c r="M87" s="17"/>
    </row>
    <row r="88" spans="1:13" x14ac:dyDescent="0.25">
      <c r="A88" s="31" t="str">
        <f>CONCATENATE("№",Данные!B79)</f>
        <v>№</v>
      </c>
      <c r="B88" s="32" t="str">
        <f>TEXT(Данные!C79,"ДД.ММ.ГГГГ\г\.")</f>
        <v>00.01.1900г.</v>
      </c>
      <c r="C88" s="143">
        <f>Данные!A79</f>
        <v>0</v>
      </c>
      <c r="D88" s="142"/>
      <c r="E88" s="33" t="str">
        <f>IF(Данные!I79 = 2, "МГ", "МН")</f>
        <v>МН</v>
      </c>
      <c r="F88" s="34">
        <f>Данные!K79</f>
        <v>0</v>
      </c>
      <c r="G88" s="17"/>
      <c r="H88" s="17"/>
      <c r="I88" s="17"/>
      <c r="J88" s="17"/>
      <c r="K88" s="17"/>
      <c r="L88" s="17"/>
      <c r="M88" s="17"/>
    </row>
    <row r="89" spans="1:13" x14ac:dyDescent="0.25">
      <c r="A89" s="31" t="str">
        <f>CONCATENATE("№",Данные!B80)</f>
        <v>№</v>
      </c>
      <c r="B89" s="32" t="str">
        <f>TEXT(Данные!C80,"ДД.ММ.ГГГГ\г\.")</f>
        <v>00.01.1900г.</v>
      </c>
      <c r="C89" s="143">
        <f>Данные!A80</f>
        <v>0</v>
      </c>
      <c r="D89" s="142"/>
      <c r="E89" s="33" t="str">
        <f>IF(Данные!I80 = 2, "МГ", "МН")</f>
        <v>МН</v>
      </c>
      <c r="F89" s="34">
        <f>Данные!K80</f>
        <v>0</v>
      </c>
      <c r="G89" s="17"/>
      <c r="H89" s="17"/>
      <c r="I89" s="17"/>
      <c r="J89" s="17"/>
      <c r="K89" s="17"/>
      <c r="L89" s="17"/>
      <c r="M89" s="17"/>
    </row>
    <row r="90" spans="1:13" x14ac:dyDescent="0.25">
      <c r="A90" s="31" t="str">
        <f>CONCATENATE("№",Данные!B81)</f>
        <v>№</v>
      </c>
      <c r="B90" s="32" t="str">
        <f>TEXT(Данные!C81,"ДД.ММ.ГГГГ\г\.")</f>
        <v>00.01.1900г.</v>
      </c>
      <c r="C90" s="143">
        <f>Данные!A81</f>
        <v>0</v>
      </c>
      <c r="D90" s="142"/>
      <c r="E90" s="33" t="str">
        <f>IF(Данные!I81 = 2, "МГ", "МН")</f>
        <v>МН</v>
      </c>
      <c r="F90" s="34">
        <f>Данные!K81</f>
        <v>0</v>
      </c>
      <c r="G90" s="17"/>
      <c r="H90" s="17"/>
      <c r="I90" s="17"/>
      <c r="J90" s="17"/>
      <c r="K90" s="17"/>
      <c r="L90" s="17"/>
      <c r="M90" s="17"/>
    </row>
    <row r="91" spans="1:13" x14ac:dyDescent="0.25">
      <c r="A91" s="31" t="str">
        <f>CONCATENATE("№",Данные!B82)</f>
        <v>№</v>
      </c>
      <c r="B91" s="32" t="str">
        <f>TEXT(Данные!C82,"ДД.ММ.ГГГГ\г\.")</f>
        <v>00.01.1900г.</v>
      </c>
      <c r="C91" s="143">
        <f>Данные!A82</f>
        <v>0</v>
      </c>
      <c r="D91" s="142"/>
      <c r="E91" s="33" t="str">
        <f>IF(Данные!I82 = 2, "МГ", "МН")</f>
        <v>МН</v>
      </c>
      <c r="F91" s="34">
        <f>Данные!K82</f>
        <v>0</v>
      </c>
      <c r="G91" s="17"/>
      <c r="H91" s="17"/>
      <c r="I91" s="17"/>
      <c r="J91" s="17"/>
      <c r="K91" s="17"/>
      <c r="L91" s="17"/>
      <c r="M91" s="17"/>
    </row>
    <row r="92" spans="1:13" x14ac:dyDescent="0.25">
      <c r="A92" s="31" t="str">
        <f>CONCATENATE("№",Данные!B83)</f>
        <v>№</v>
      </c>
      <c r="B92" s="32" t="str">
        <f>TEXT(Данные!C83,"ДД.ММ.ГГГГ\г\.")</f>
        <v>00.01.1900г.</v>
      </c>
      <c r="C92" s="143">
        <f>Данные!A83</f>
        <v>0</v>
      </c>
      <c r="D92" s="142"/>
      <c r="E92" s="33" t="str">
        <f>IF(Данные!I83 = 2, "МГ", "МН")</f>
        <v>МН</v>
      </c>
      <c r="F92" s="34">
        <f>Данные!K83</f>
        <v>0</v>
      </c>
      <c r="G92" s="17"/>
      <c r="H92" s="17"/>
      <c r="I92" s="17"/>
      <c r="J92" s="17"/>
      <c r="K92" s="17"/>
      <c r="L92" s="17"/>
      <c r="M92" s="17"/>
    </row>
    <row r="93" spans="1:13" x14ac:dyDescent="0.25">
      <c r="A93" s="31" t="str">
        <f>CONCATENATE("№",Данные!B84)</f>
        <v>№</v>
      </c>
      <c r="B93" s="32" t="str">
        <f>TEXT(Данные!C84,"ДД.ММ.ГГГГ\г\.")</f>
        <v>00.01.1900г.</v>
      </c>
      <c r="C93" s="143">
        <f>Данные!A84</f>
        <v>0</v>
      </c>
      <c r="D93" s="142"/>
      <c r="E93" s="33" t="str">
        <f>IF(Данные!I84 = 2, "МГ", "МН")</f>
        <v>МН</v>
      </c>
      <c r="F93" s="34">
        <f>Данные!K84</f>
        <v>0</v>
      </c>
      <c r="G93" s="17"/>
      <c r="H93" s="17"/>
      <c r="I93" s="17"/>
      <c r="J93" s="17"/>
      <c r="K93" s="17"/>
      <c r="L93" s="17"/>
      <c r="M93" s="17"/>
    </row>
    <row r="94" spans="1:13" x14ac:dyDescent="0.25">
      <c r="A94" s="31" t="str">
        <f>CONCATENATE("№",Данные!B85)</f>
        <v>№</v>
      </c>
      <c r="B94" s="32" t="str">
        <f>TEXT(Данные!C85,"ДД.ММ.ГГГГ\г\.")</f>
        <v>00.01.1900г.</v>
      </c>
      <c r="C94" s="143">
        <f>Данные!A85</f>
        <v>0</v>
      </c>
      <c r="D94" s="142"/>
      <c r="E94" s="33" t="str">
        <f>IF(Данные!I85 = 2, "МГ", "МН")</f>
        <v>МН</v>
      </c>
      <c r="F94" s="34">
        <f>Данные!K85</f>
        <v>0</v>
      </c>
      <c r="G94" s="17"/>
      <c r="H94" s="17"/>
      <c r="I94" s="17"/>
      <c r="J94" s="17"/>
      <c r="K94" s="17"/>
      <c r="L94" s="17"/>
      <c r="M94" s="17"/>
    </row>
    <row r="95" spans="1:13" x14ac:dyDescent="0.25">
      <c r="A95" s="31" t="str">
        <f>CONCATENATE("№",Данные!B86)</f>
        <v>№</v>
      </c>
      <c r="B95" s="32" t="str">
        <f>TEXT(Данные!C86,"ДД.ММ.ГГГГ\г\.")</f>
        <v>00.01.1900г.</v>
      </c>
      <c r="C95" s="143">
        <f>Данные!A86</f>
        <v>0</v>
      </c>
      <c r="D95" s="142"/>
      <c r="E95" s="33" t="str">
        <f>IF(Данные!I86 = 2, "МГ", "МН")</f>
        <v>МН</v>
      </c>
      <c r="F95" s="34">
        <f>Данные!K86</f>
        <v>0</v>
      </c>
      <c r="G95" s="17"/>
      <c r="H95" s="17"/>
      <c r="I95" s="17"/>
      <c r="J95" s="17"/>
      <c r="K95" s="17"/>
      <c r="L95" s="17"/>
      <c r="M95" s="17"/>
    </row>
    <row r="96" spans="1:13" x14ac:dyDescent="0.25">
      <c r="A96" s="31" t="str">
        <f>CONCATENATE("№",Данные!B87)</f>
        <v>№</v>
      </c>
      <c r="B96" s="32" t="str">
        <f>TEXT(Данные!C87,"ДД.ММ.ГГГГ\г\.")</f>
        <v>00.01.1900г.</v>
      </c>
      <c r="C96" s="143">
        <f>Данные!A87</f>
        <v>0</v>
      </c>
      <c r="D96" s="142"/>
      <c r="E96" s="33" t="str">
        <f>IF(Данные!I87 = 2, "МГ", "МН")</f>
        <v>МН</v>
      </c>
      <c r="F96" s="34">
        <f>Данные!K87</f>
        <v>0</v>
      </c>
      <c r="G96" s="17"/>
      <c r="H96" s="17"/>
      <c r="I96" s="17"/>
      <c r="J96" s="17"/>
      <c r="K96" s="17"/>
      <c r="L96" s="17"/>
      <c r="M96" s="17"/>
    </row>
    <row r="97" spans="1:13" x14ac:dyDescent="0.25">
      <c r="A97" s="31" t="str">
        <f>CONCATENATE("№",Данные!B88)</f>
        <v>№</v>
      </c>
      <c r="B97" s="32" t="str">
        <f>TEXT(Данные!C88,"ДД.ММ.ГГГГ\г\.")</f>
        <v>00.01.1900г.</v>
      </c>
      <c r="C97" s="143">
        <f>Данные!A88</f>
        <v>0</v>
      </c>
      <c r="D97" s="142"/>
      <c r="E97" s="33" t="str">
        <f>IF(Данные!I88 = 2, "МГ", "МН")</f>
        <v>МН</v>
      </c>
      <c r="F97" s="34">
        <f>Данные!K88</f>
        <v>0</v>
      </c>
      <c r="G97" s="17"/>
      <c r="H97" s="17"/>
      <c r="I97" s="17"/>
      <c r="J97" s="17"/>
      <c r="K97" s="17"/>
      <c r="L97" s="17"/>
      <c r="M97" s="17"/>
    </row>
    <row r="98" spans="1:13" x14ac:dyDescent="0.25">
      <c r="A98" s="31" t="str">
        <f>CONCATENATE("№",Данные!B89)</f>
        <v>№</v>
      </c>
      <c r="B98" s="32" t="str">
        <f>TEXT(Данные!C89,"ДД.ММ.ГГГГ\г\.")</f>
        <v>00.01.1900г.</v>
      </c>
      <c r="C98" s="143">
        <f>Данные!A89</f>
        <v>0</v>
      </c>
      <c r="D98" s="142"/>
      <c r="E98" s="33" t="str">
        <f>IF(Данные!I89 = 2, "МГ", "МН")</f>
        <v>МН</v>
      </c>
      <c r="F98" s="34">
        <f>Данные!K89</f>
        <v>0</v>
      </c>
      <c r="G98" s="17"/>
      <c r="H98" s="17"/>
      <c r="I98" s="17"/>
      <c r="J98" s="17"/>
      <c r="K98" s="17"/>
      <c r="L98" s="17"/>
      <c r="M98" s="17"/>
    </row>
    <row r="99" spans="1:13" x14ac:dyDescent="0.25">
      <c r="A99" s="31" t="str">
        <f>CONCATENATE("№",Данные!B90)</f>
        <v>№</v>
      </c>
      <c r="B99" s="32" t="str">
        <f>TEXT(Данные!C90,"ДД.ММ.ГГГГ\г\.")</f>
        <v>00.01.1900г.</v>
      </c>
      <c r="C99" s="143">
        <f>Данные!A90</f>
        <v>0</v>
      </c>
      <c r="D99" s="142"/>
      <c r="E99" s="33" t="str">
        <f>IF(Данные!I90 = 2, "МГ", "МН")</f>
        <v>МН</v>
      </c>
      <c r="F99" s="34">
        <f>Данные!K90</f>
        <v>0</v>
      </c>
      <c r="G99" s="17"/>
      <c r="H99" s="17"/>
      <c r="I99" s="17"/>
      <c r="J99" s="17"/>
      <c r="K99" s="17"/>
      <c r="L99" s="17"/>
      <c r="M99" s="17"/>
    </row>
    <row r="100" spans="1:13" x14ac:dyDescent="0.25">
      <c r="A100" s="31" t="str">
        <f>CONCATENATE("№",Данные!B91)</f>
        <v>№</v>
      </c>
      <c r="B100" s="32" t="str">
        <f>TEXT(Данные!C91,"ДД.ММ.ГГГГ\г\.")</f>
        <v>00.01.1900г.</v>
      </c>
      <c r="C100" s="143">
        <f>Данные!A91</f>
        <v>0</v>
      </c>
      <c r="D100" s="142"/>
      <c r="E100" s="33" t="str">
        <f>IF(Данные!I91 = 2, "МГ", "МН")</f>
        <v>МН</v>
      </c>
      <c r="F100" s="34">
        <f>Данные!K91</f>
        <v>0</v>
      </c>
      <c r="G100" s="17"/>
      <c r="H100" s="17"/>
      <c r="I100" s="17"/>
      <c r="J100" s="17"/>
      <c r="K100" s="17"/>
      <c r="L100" s="17"/>
      <c r="M100" s="17"/>
    </row>
    <row r="101" spans="1:13" x14ac:dyDescent="0.25">
      <c r="A101" s="31" t="str">
        <f>CONCATENATE("№",Данные!B92)</f>
        <v>№</v>
      </c>
      <c r="B101" s="32" t="str">
        <f>TEXT(Данные!C92,"ДД.ММ.ГГГГ\г\.")</f>
        <v>00.01.1900г.</v>
      </c>
      <c r="C101" s="143">
        <f>Данные!A92</f>
        <v>0</v>
      </c>
      <c r="D101" s="142"/>
      <c r="E101" s="33" t="str">
        <f>IF(Данные!I92 = 2, "МГ", "МН")</f>
        <v>МН</v>
      </c>
      <c r="F101" s="34">
        <f>Данные!K92</f>
        <v>0</v>
      </c>
      <c r="G101" s="17"/>
      <c r="H101" s="17"/>
      <c r="I101" s="17"/>
      <c r="J101" s="17"/>
      <c r="K101" s="17"/>
      <c r="L101" s="17"/>
      <c r="M101" s="17"/>
    </row>
    <row r="102" spans="1:13" x14ac:dyDescent="0.25">
      <c r="A102" s="31" t="str">
        <f>CONCATENATE("№",Данные!B93)</f>
        <v>№</v>
      </c>
      <c r="B102" s="32" t="str">
        <f>TEXT(Данные!C93,"ДД.ММ.ГГГГ\г\.")</f>
        <v>00.01.1900г.</v>
      </c>
      <c r="C102" s="143">
        <f>Данные!A93</f>
        <v>0</v>
      </c>
      <c r="D102" s="142"/>
      <c r="E102" s="33" t="str">
        <f>IF(Данные!I93 = 2, "МГ", "МН")</f>
        <v>МН</v>
      </c>
      <c r="F102" s="34">
        <f>Данные!K93</f>
        <v>0</v>
      </c>
      <c r="G102" s="17"/>
      <c r="H102" s="17"/>
      <c r="I102" s="17"/>
      <c r="J102" s="17"/>
      <c r="K102" s="17"/>
      <c r="L102" s="17"/>
      <c r="M102" s="17"/>
    </row>
    <row r="103" spans="1:13" x14ac:dyDescent="0.25">
      <c r="A103" s="31" t="str">
        <f>CONCATENATE("№",Данные!B94)</f>
        <v>№</v>
      </c>
      <c r="B103" s="32" t="str">
        <f>TEXT(Данные!C94,"ДД.ММ.ГГГГ\г\.")</f>
        <v>00.01.1900г.</v>
      </c>
      <c r="C103" s="143">
        <f>Данные!A94</f>
        <v>0</v>
      </c>
      <c r="D103" s="142"/>
      <c r="E103" s="33" t="str">
        <f>IF(Данные!I94 = 2, "МГ", "МН")</f>
        <v>МН</v>
      </c>
      <c r="F103" s="34">
        <f>Данные!K94</f>
        <v>0</v>
      </c>
      <c r="G103" s="17"/>
      <c r="H103" s="17"/>
      <c r="I103" s="17"/>
      <c r="J103" s="17"/>
      <c r="K103" s="17"/>
      <c r="L103" s="17"/>
      <c r="M103" s="17"/>
    </row>
    <row r="104" spans="1:13" x14ac:dyDescent="0.25">
      <c r="A104" s="31" t="str">
        <f>CONCATENATE("№",Данные!B95)</f>
        <v>№</v>
      </c>
      <c r="B104" s="32" t="str">
        <f>TEXT(Данные!C95,"ДД.ММ.ГГГГ\г\.")</f>
        <v>00.01.1900г.</v>
      </c>
      <c r="C104" s="143">
        <f>Данные!A95</f>
        <v>0</v>
      </c>
      <c r="D104" s="142"/>
      <c r="E104" s="33" t="str">
        <f>IF(Данные!I95 = 2, "МГ", "МН")</f>
        <v>МН</v>
      </c>
      <c r="F104" s="34">
        <f>Данные!K95</f>
        <v>0</v>
      </c>
      <c r="G104" s="17"/>
      <c r="H104" s="17"/>
      <c r="I104" s="17"/>
      <c r="J104" s="17"/>
      <c r="K104" s="17"/>
      <c r="L104" s="17"/>
      <c r="M104" s="17"/>
    </row>
    <row r="105" spans="1:13" x14ac:dyDescent="0.25">
      <c r="A105" s="31" t="str">
        <f>CONCATENATE("№",Данные!B96)</f>
        <v>№</v>
      </c>
      <c r="B105" s="32" t="str">
        <f>TEXT(Данные!C96,"ДД.ММ.ГГГГ\г\.")</f>
        <v>00.01.1900г.</v>
      </c>
      <c r="C105" s="143">
        <f>Данные!A96</f>
        <v>0</v>
      </c>
      <c r="D105" s="142"/>
      <c r="E105" s="33" t="str">
        <f>IF(Данные!I96 = 2, "МГ", "МН")</f>
        <v>МН</v>
      </c>
      <c r="F105" s="34">
        <f>Данные!K96</f>
        <v>0</v>
      </c>
      <c r="G105" s="17"/>
      <c r="H105" s="17"/>
      <c r="I105" s="17"/>
      <c r="J105" s="17"/>
      <c r="K105" s="17"/>
      <c r="L105" s="17"/>
      <c r="M105" s="17"/>
    </row>
    <row r="106" spans="1:13" x14ac:dyDescent="0.25">
      <c r="A106" s="31" t="str">
        <f>CONCATENATE("№",Данные!B97)</f>
        <v>№</v>
      </c>
      <c r="B106" s="32" t="str">
        <f>TEXT(Данные!C97,"ДД.ММ.ГГГГ\г\.")</f>
        <v>00.01.1900г.</v>
      </c>
      <c r="C106" s="143">
        <f>Данные!A97</f>
        <v>0</v>
      </c>
      <c r="D106" s="142"/>
      <c r="E106" s="33" t="str">
        <f>IF(Данные!I97 = 2, "МГ", "МН")</f>
        <v>МН</v>
      </c>
      <c r="F106" s="34">
        <f>Данные!K97</f>
        <v>0</v>
      </c>
      <c r="G106" s="17"/>
      <c r="H106" s="17"/>
      <c r="I106" s="17"/>
      <c r="J106" s="17"/>
      <c r="K106" s="17"/>
      <c r="L106" s="17"/>
      <c r="M106" s="17"/>
    </row>
    <row r="107" spans="1:13" x14ac:dyDescent="0.25">
      <c r="A107" s="31" t="str">
        <f>CONCATENATE("№",Данные!B98)</f>
        <v>№</v>
      </c>
      <c r="B107" s="32" t="str">
        <f>TEXT(Данные!C98,"ДД.ММ.ГГГГ\г\.")</f>
        <v>00.01.1900г.</v>
      </c>
      <c r="C107" s="143">
        <f>Данные!A98</f>
        <v>0</v>
      </c>
      <c r="D107" s="142"/>
      <c r="E107" s="33" t="str">
        <f>IF(Данные!I98 = 2, "МГ", "МН")</f>
        <v>МН</v>
      </c>
      <c r="F107" s="34">
        <f>Данные!K98</f>
        <v>0</v>
      </c>
      <c r="G107" s="17"/>
      <c r="H107" s="17"/>
      <c r="I107" s="17"/>
      <c r="J107" s="17"/>
      <c r="K107" s="17"/>
      <c r="L107" s="17"/>
      <c r="M107" s="17"/>
    </row>
    <row r="108" spans="1:13" x14ac:dyDescent="0.25">
      <c r="A108" s="31" t="str">
        <f>CONCATENATE("№",Данные!B99)</f>
        <v>№</v>
      </c>
      <c r="B108" s="32" t="str">
        <f>TEXT(Данные!C99,"ДД.ММ.ГГГГ\г\.")</f>
        <v>00.01.1900г.</v>
      </c>
      <c r="C108" s="143">
        <f>Данные!A99</f>
        <v>0</v>
      </c>
      <c r="D108" s="142"/>
      <c r="E108" s="33" t="str">
        <f>IF(Данные!I99 = 2, "МГ", "МН")</f>
        <v>МН</v>
      </c>
      <c r="F108" s="34">
        <f>Данные!K99</f>
        <v>0</v>
      </c>
      <c r="G108" s="17"/>
      <c r="H108" s="17"/>
      <c r="I108" s="17"/>
      <c r="J108" s="17"/>
      <c r="K108" s="17"/>
      <c r="L108" s="17"/>
      <c r="M108" s="17"/>
    </row>
    <row r="109" spans="1:13" x14ac:dyDescent="0.25">
      <c r="A109" s="31" t="str">
        <f>CONCATENATE("№",Данные!B100)</f>
        <v>№</v>
      </c>
      <c r="B109" s="32" t="str">
        <f>TEXT(Данные!C100,"ДД.ММ.ГГГГ\г\.")</f>
        <v>00.01.1900г.</v>
      </c>
      <c r="C109" s="143">
        <f>Данные!A100</f>
        <v>0</v>
      </c>
      <c r="D109" s="142"/>
      <c r="E109" s="33" t="str">
        <f>IF(Данные!I100 = 2, "МГ", "МН")</f>
        <v>МН</v>
      </c>
      <c r="F109" s="34">
        <f>Данные!K100</f>
        <v>0</v>
      </c>
      <c r="G109" s="17"/>
      <c r="H109" s="17"/>
      <c r="I109" s="17"/>
      <c r="J109" s="17"/>
      <c r="K109" s="17"/>
      <c r="L109" s="17"/>
      <c r="M109" s="17"/>
    </row>
    <row r="110" spans="1:13" ht="15.75" thickBot="1" x14ac:dyDescent="0.3">
      <c r="A110" s="214" t="str">
        <f>CONCATENATE("№",Данные!B101)</f>
        <v>№</v>
      </c>
      <c r="B110" s="215" t="str">
        <f>TEXT(Данные!C101,"ДД.ММ.ГГГГ\г\.")</f>
        <v>00.01.1900г.</v>
      </c>
      <c r="C110" s="222">
        <f>Данные!A101</f>
        <v>0</v>
      </c>
      <c r="D110" s="223"/>
      <c r="E110" s="216" t="str">
        <f>IF(Данные!I101 = 2, "МГ", "МН")</f>
        <v>МН</v>
      </c>
      <c r="F110" s="217">
        <f>Данные!K101</f>
        <v>0</v>
      </c>
      <c r="G110" s="17"/>
      <c r="H110" s="17"/>
      <c r="I110" s="17"/>
      <c r="J110" s="17"/>
      <c r="K110" s="17"/>
      <c r="L110" s="17"/>
      <c r="M110" s="17"/>
    </row>
    <row r="111" spans="1:13" ht="15.75" thickBot="1" x14ac:dyDescent="0.3">
      <c r="A111" s="205" t="s">
        <v>14</v>
      </c>
      <c r="B111" s="206"/>
      <c r="C111" s="206"/>
      <c r="D111" s="207"/>
      <c r="E111" s="208"/>
      <c r="F111" s="209">
        <f>SUM(F11:F110)</f>
        <v>890.04</v>
      </c>
      <c r="G111" s="17"/>
      <c r="H111" s="17"/>
      <c r="I111" s="17"/>
      <c r="J111" s="17"/>
      <c r="K111" s="17"/>
      <c r="L111" s="17"/>
      <c r="M111" s="17"/>
    </row>
    <row r="112" spans="1:13" s="17" customFormat="1" ht="15.75" customHeight="1" x14ac:dyDescent="0.25">
      <c r="A112" s="74" t="s">
        <v>109</v>
      </c>
      <c r="B112" s="29"/>
      <c r="C112" s="29"/>
      <c r="F112" s="30"/>
    </row>
    <row r="113" spans="1:6" x14ac:dyDescent="0.25">
      <c r="A113" s="202" t="s">
        <v>214</v>
      </c>
      <c r="B113" s="201"/>
      <c r="C113" s="201"/>
      <c r="D113" s="201"/>
      <c r="E113" s="201"/>
      <c r="F113" s="201"/>
    </row>
    <row r="114" spans="1:6" x14ac:dyDescent="0.25">
      <c r="A114" s="202" t="s">
        <v>215</v>
      </c>
      <c r="B114" s="201"/>
      <c r="C114" s="201"/>
      <c r="D114" s="201"/>
      <c r="E114" s="201"/>
      <c r="F114" s="201"/>
    </row>
    <row r="115" spans="1:6" x14ac:dyDescent="0.25">
      <c r="A115" s="202" t="s">
        <v>216</v>
      </c>
      <c r="B115" s="201"/>
      <c r="C115" s="201"/>
      <c r="D115" s="201"/>
      <c r="E115" s="201"/>
      <c r="F115" s="201"/>
    </row>
    <row r="116" spans="1:6" x14ac:dyDescent="0.25">
      <c r="A116" s="202" t="s">
        <v>217</v>
      </c>
      <c r="B116" s="201"/>
      <c r="C116" s="201"/>
      <c r="D116" s="201"/>
      <c r="E116" s="201"/>
      <c r="F116" s="201"/>
    </row>
    <row r="117" spans="1:6" x14ac:dyDescent="0.25">
      <c r="A117" s="202" t="s">
        <v>218</v>
      </c>
      <c r="B117" s="201"/>
      <c r="C117" s="201"/>
      <c r="D117" s="201"/>
      <c r="E117" s="201"/>
      <c r="F117" s="201"/>
    </row>
    <row r="118" spans="1:6" x14ac:dyDescent="0.25">
      <c r="A118" s="202" t="s">
        <v>219</v>
      </c>
      <c r="B118" s="201"/>
      <c r="C118" s="201"/>
      <c r="D118" s="201"/>
      <c r="E118" s="201"/>
      <c r="F118" s="201"/>
    </row>
    <row r="119" spans="1:6" x14ac:dyDescent="0.25">
      <c r="A119" s="28" t="s">
        <v>220</v>
      </c>
      <c r="B119" s="21"/>
      <c r="C119" s="21"/>
      <c r="D119" s="21"/>
      <c r="E119" s="21"/>
      <c r="F119" s="21"/>
    </row>
    <row r="120" spans="1:6" x14ac:dyDescent="0.25">
      <c r="A120" s="196" t="s">
        <v>221</v>
      </c>
      <c r="B120" s="195"/>
      <c r="C120" s="195"/>
      <c r="D120" s="195"/>
      <c r="E120" s="195"/>
      <c r="F120" s="195"/>
    </row>
    <row r="121" spans="1:6" ht="15.75" customHeight="1" x14ac:dyDescent="0.25">
      <c r="A121" s="28" t="s">
        <v>25</v>
      </c>
      <c r="B121" s="21"/>
      <c r="C121" s="21"/>
      <c r="D121" s="21"/>
      <c r="E121" s="21"/>
      <c r="F121" s="21"/>
    </row>
    <row r="122" spans="1:6" x14ac:dyDescent="0.25">
      <c r="A122" s="28" t="s">
        <v>222</v>
      </c>
      <c r="B122" s="21"/>
      <c r="C122" s="21"/>
      <c r="D122" s="21"/>
      <c r="E122" s="21"/>
      <c r="F122" s="21"/>
    </row>
    <row r="123" spans="1:6" x14ac:dyDescent="0.25">
      <c r="A123" s="28" t="s">
        <v>223</v>
      </c>
      <c r="B123" s="21"/>
      <c r="C123" s="21"/>
      <c r="D123" s="21"/>
      <c r="E123" s="21"/>
      <c r="F123" s="21"/>
    </row>
    <row r="124" spans="1:6" x14ac:dyDescent="0.25">
      <c r="A124" s="6"/>
      <c r="D124" s="1" t="s">
        <v>210</v>
      </c>
    </row>
    <row r="125" spans="1:6" x14ac:dyDescent="0.25">
      <c r="A125" t="s">
        <v>208</v>
      </c>
      <c r="D125" s="1"/>
    </row>
    <row r="126" spans="1:6" x14ac:dyDescent="0.25">
      <c r="D126" s="1" t="s">
        <v>211</v>
      </c>
    </row>
    <row r="127" spans="1:6" x14ac:dyDescent="0.25">
      <c r="A127" t="s">
        <v>209</v>
      </c>
      <c r="D127" s="1" t="s">
        <v>212</v>
      </c>
    </row>
    <row r="128" spans="1:6" x14ac:dyDescent="0.25">
      <c r="D128" s="1" t="s">
        <v>213</v>
      </c>
    </row>
  </sheetData>
  <mergeCells count="11">
    <mergeCell ref="A6:F6"/>
    <mergeCell ref="A7:F7"/>
    <mergeCell ref="A8:F8"/>
    <mergeCell ref="A9:F9"/>
    <mergeCell ref="C10:D10"/>
    <mergeCell ref="E10:F10"/>
    <mergeCell ref="A1:F1"/>
    <mergeCell ref="A2:F2"/>
    <mergeCell ref="A3:F3"/>
    <mergeCell ref="A4:F4"/>
    <mergeCell ref="A5:F5"/>
  </mergeCells>
  <pageMargins left="0.59055118110236227" right="0.19685039370078741" top="0.19685039370078741" bottom="0.19685039370078741" header="0.31496062992125984" footer="0.31496062992125984"/>
  <pageSetup paperSize="9" scale="7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  <pageSetUpPr fitToPage="1"/>
  </sheetPr>
  <dimension ref="A1:X120"/>
  <sheetViews>
    <sheetView topLeftCell="A106" workbookViewId="0">
      <selection activeCell="H140" sqref="H140"/>
    </sheetView>
  </sheetViews>
  <sheetFormatPr defaultRowHeight="15" x14ac:dyDescent="0.25"/>
  <cols>
    <col min="3" max="3" width="28.7109375" customWidth="1"/>
    <col min="4" max="4" width="9.85546875" customWidth="1"/>
    <col min="5" max="5" width="5.28515625" customWidth="1"/>
    <col min="6" max="6" width="8.140625" customWidth="1"/>
    <col min="7" max="8" width="7.7109375" customWidth="1"/>
    <col min="9" max="9" width="40.5703125" customWidth="1"/>
    <col min="10" max="10" width="18.28515625" customWidth="1"/>
    <col min="11" max="11" width="14.42578125" customWidth="1"/>
    <col min="16" max="16" width="9.42578125" style="114" bestFit="1" customWidth="1"/>
    <col min="17" max="17" width="7.85546875" style="114" customWidth="1"/>
    <col min="18" max="18" width="4.140625" style="114" customWidth="1"/>
    <col min="19" max="19" width="3.85546875" customWidth="1"/>
    <col min="20" max="20" width="3.28515625" customWidth="1"/>
    <col min="21" max="21" width="7.42578125" customWidth="1"/>
    <col min="22" max="22" width="5.42578125" customWidth="1"/>
    <col min="23" max="23" width="4.140625" customWidth="1"/>
    <col min="24" max="24" width="11.140625" customWidth="1"/>
  </cols>
  <sheetData>
    <row r="1" spans="1:24" ht="31.5" customHeight="1" x14ac:dyDescent="0.25"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249" t="s">
        <v>203</v>
      </c>
      <c r="P1" s="249"/>
      <c r="Q1" s="249"/>
      <c r="R1" s="249"/>
      <c r="S1" s="249"/>
      <c r="T1" s="249"/>
      <c r="U1" s="249"/>
      <c r="V1" s="249"/>
      <c r="W1" s="249"/>
      <c r="X1" s="249"/>
    </row>
    <row r="2" spans="1:24" ht="18" x14ac:dyDescent="0.25">
      <c r="C2" s="7" t="s">
        <v>26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8"/>
      <c r="P2" s="176"/>
      <c r="Q2" s="173"/>
      <c r="R2" s="173"/>
      <c r="S2" s="7"/>
      <c r="T2" s="8"/>
      <c r="U2" s="7"/>
      <c r="V2" s="7"/>
      <c r="W2" s="7"/>
      <c r="X2" s="7"/>
    </row>
    <row r="3" spans="1:24" ht="3.75" customHeight="1" x14ac:dyDescent="0.25"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174"/>
      <c r="Q3" s="174"/>
      <c r="R3" s="174"/>
      <c r="S3" s="6"/>
      <c r="T3" s="6"/>
      <c r="U3" s="6"/>
      <c r="V3" s="6"/>
      <c r="W3" s="6"/>
      <c r="X3" s="6"/>
    </row>
    <row r="4" spans="1:24" x14ac:dyDescent="0.25">
      <c r="B4" s="9" t="s">
        <v>171</v>
      </c>
      <c r="F4" s="9"/>
      <c r="G4" s="9"/>
      <c r="H4" s="9"/>
      <c r="I4" s="6"/>
      <c r="J4" s="6"/>
      <c r="K4" s="6"/>
      <c r="L4" s="6"/>
      <c r="M4" s="6"/>
      <c r="N4" s="6"/>
      <c r="O4" s="6"/>
      <c r="P4" s="174"/>
      <c r="Q4" s="174"/>
      <c r="R4" s="174"/>
      <c r="S4" s="6"/>
      <c r="T4" s="6"/>
      <c r="U4" s="6"/>
      <c r="V4" s="6"/>
      <c r="W4" s="6"/>
      <c r="X4" s="6"/>
    </row>
    <row r="5" spans="1:24" x14ac:dyDescent="0.25">
      <c r="B5" s="10" t="s">
        <v>196</v>
      </c>
      <c r="F5" s="10"/>
      <c r="G5" s="10"/>
      <c r="H5" s="10"/>
      <c r="I5" s="6"/>
      <c r="J5" s="6"/>
      <c r="K5" s="6"/>
      <c r="L5" s="6"/>
      <c r="M5" s="6"/>
      <c r="N5" s="6"/>
      <c r="O5" s="6"/>
      <c r="P5" s="174"/>
      <c r="Q5" s="174"/>
      <c r="R5" s="174"/>
      <c r="S5" s="6"/>
      <c r="T5" s="6"/>
      <c r="U5" s="6"/>
      <c r="V5" s="6"/>
      <c r="W5" s="6"/>
      <c r="X5" s="6"/>
    </row>
    <row r="6" spans="1:24" x14ac:dyDescent="0.25">
      <c r="B6" s="10" t="str">
        <f>CONCATENATE("Продажа за период с 01.",TEXT(Данные!G2,"ММ.ГГГГ\г\.")," по ",TEXT(EOMONTH(Данные!G2,0),"ДД.ММ.ГГГГ\г\."))</f>
        <v>Продажа за период с 01.09.2019г. по 30.09.2019г.</v>
      </c>
      <c r="F6" s="10"/>
      <c r="G6" s="10"/>
      <c r="H6" s="10"/>
      <c r="I6" s="6"/>
      <c r="J6" s="6"/>
      <c r="K6" s="6"/>
      <c r="L6" s="6"/>
      <c r="M6" s="6"/>
      <c r="N6" s="6"/>
      <c r="O6" s="6"/>
      <c r="P6" s="174"/>
      <c r="Q6" s="174"/>
      <c r="R6" s="174"/>
      <c r="S6" s="6"/>
      <c r="T6" s="6"/>
      <c r="U6" s="6"/>
      <c r="V6" s="6"/>
      <c r="W6" s="6"/>
      <c r="X6" s="6"/>
    </row>
    <row r="7" spans="1:24" ht="6.75" customHeight="1" thickBot="1" x14ac:dyDescent="0.3">
      <c r="C7" s="250" t="s">
        <v>27</v>
      </c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11"/>
      <c r="P7" s="177"/>
      <c r="Q7" s="250"/>
      <c r="R7" s="250"/>
      <c r="S7" s="250"/>
      <c r="T7" s="250"/>
      <c r="U7" s="250"/>
      <c r="V7" s="250"/>
      <c r="W7" s="250"/>
      <c r="X7" s="250"/>
    </row>
    <row r="8" spans="1:24" ht="14.25" customHeight="1" x14ac:dyDescent="0.25">
      <c r="A8" s="243" t="s">
        <v>151</v>
      </c>
      <c r="B8" s="246" t="s">
        <v>152</v>
      </c>
      <c r="C8" s="240" t="s">
        <v>168</v>
      </c>
      <c r="D8" s="259" t="s">
        <v>189</v>
      </c>
      <c r="E8" s="259" t="s">
        <v>182</v>
      </c>
      <c r="F8" s="240" t="s">
        <v>112</v>
      </c>
      <c r="G8" s="240" t="s">
        <v>113</v>
      </c>
      <c r="H8" s="262" t="s">
        <v>188</v>
      </c>
      <c r="I8" s="240" t="s">
        <v>28</v>
      </c>
      <c r="J8" s="240" t="s">
        <v>153</v>
      </c>
      <c r="K8" s="240" t="s">
        <v>154</v>
      </c>
      <c r="L8" s="240"/>
      <c r="M8" s="240" t="s">
        <v>155</v>
      </c>
      <c r="N8" s="240" t="s">
        <v>158</v>
      </c>
      <c r="O8" s="240" t="s">
        <v>162</v>
      </c>
      <c r="P8" s="254"/>
      <c r="Q8" s="256" t="s">
        <v>163</v>
      </c>
      <c r="R8" s="256"/>
      <c r="S8" s="257"/>
      <c r="T8" s="257"/>
      <c r="U8" s="256" t="s">
        <v>164</v>
      </c>
      <c r="V8" s="256"/>
      <c r="W8" s="257"/>
      <c r="X8" s="251" t="s">
        <v>165</v>
      </c>
    </row>
    <row r="9" spans="1:24" ht="15" customHeight="1" x14ac:dyDescent="0.25">
      <c r="A9" s="244"/>
      <c r="B9" s="247"/>
      <c r="C9" s="241"/>
      <c r="D9" s="260"/>
      <c r="E9" s="260"/>
      <c r="F9" s="241"/>
      <c r="G9" s="241"/>
      <c r="H9" s="241"/>
      <c r="I9" s="241"/>
      <c r="J9" s="241"/>
      <c r="K9" s="241"/>
      <c r="L9" s="241"/>
      <c r="M9" s="241"/>
      <c r="N9" s="241"/>
      <c r="O9" s="255"/>
      <c r="P9" s="255"/>
      <c r="Q9" s="258"/>
      <c r="R9" s="258"/>
      <c r="S9" s="258"/>
      <c r="T9" s="258"/>
      <c r="U9" s="258"/>
      <c r="V9" s="258"/>
      <c r="W9" s="258"/>
      <c r="X9" s="252"/>
    </row>
    <row r="10" spans="1:24" ht="75.75" customHeight="1" x14ac:dyDescent="0.25">
      <c r="A10" s="244"/>
      <c r="B10" s="247"/>
      <c r="C10" s="241"/>
      <c r="D10" s="260"/>
      <c r="E10" s="260"/>
      <c r="F10" s="241"/>
      <c r="G10" s="241"/>
      <c r="H10" s="241"/>
      <c r="I10" s="241"/>
      <c r="J10" s="241"/>
      <c r="K10" s="241"/>
      <c r="L10" s="241"/>
      <c r="M10" s="241"/>
      <c r="N10" s="241"/>
      <c r="O10" s="255"/>
      <c r="P10" s="255"/>
      <c r="Q10" s="258"/>
      <c r="R10" s="258"/>
      <c r="S10" s="258"/>
      <c r="T10" s="258"/>
      <c r="U10" s="258"/>
      <c r="V10" s="258"/>
      <c r="W10" s="258"/>
      <c r="X10" s="252"/>
    </row>
    <row r="11" spans="1:24" ht="64.5" customHeight="1" thickBot="1" x14ac:dyDescent="0.3">
      <c r="A11" s="245"/>
      <c r="B11" s="248"/>
      <c r="C11" s="242"/>
      <c r="D11" s="261"/>
      <c r="E11" s="261"/>
      <c r="F11" s="242"/>
      <c r="G11" s="242"/>
      <c r="H11" s="242"/>
      <c r="I11" s="242"/>
      <c r="J11" s="242"/>
      <c r="K11" s="145" t="s">
        <v>156</v>
      </c>
      <c r="L11" s="145" t="s">
        <v>157</v>
      </c>
      <c r="M11" s="242"/>
      <c r="N11" s="242"/>
      <c r="O11" s="145" t="s">
        <v>159</v>
      </c>
      <c r="P11" s="175" t="s">
        <v>160</v>
      </c>
      <c r="Q11" s="175" t="s">
        <v>198</v>
      </c>
      <c r="R11" s="175" t="s">
        <v>200</v>
      </c>
      <c r="S11" s="145" t="s">
        <v>161</v>
      </c>
      <c r="T11" s="146" t="s">
        <v>29</v>
      </c>
      <c r="U11" s="145" t="s">
        <v>198</v>
      </c>
      <c r="V11" s="194" t="s">
        <v>200</v>
      </c>
      <c r="W11" s="145" t="s">
        <v>161</v>
      </c>
      <c r="X11" s="253"/>
    </row>
    <row r="12" spans="1:24" ht="15.75" thickBot="1" x14ac:dyDescent="0.3">
      <c r="A12" s="148">
        <v>1</v>
      </c>
      <c r="B12" s="149">
        <v>2</v>
      </c>
      <c r="C12" s="147">
        <v>3</v>
      </c>
      <c r="D12" s="147" t="s">
        <v>190</v>
      </c>
      <c r="E12" s="147" t="s">
        <v>191</v>
      </c>
      <c r="F12" s="149">
        <v>4</v>
      </c>
      <c r="G12" s="147">
        <v>5</v>
      </c>
      <c r="H12" s="149">
        <v>6</v>
      </c>
      <c r="I12" s="147">
        <v>7</v>
      </c>
      <c r="J12" s="149">
        <v>8</v>
      </c>
      <c r="K12" s="147">
        <v>9</v>
      </c>
      <c r="L12" s="149">
        <v>10</v>
      </c>
      <c r="M12" s="147">
        <v>11</v>
      </c>
      <c r="N12" s="149">
        <v>12</v>
      </c>
      <c r="O12" s="147" t="s">
        <v>166</v>
      </c>
      <c r="P12" s="178" t="s">
        <v>167</v>
      </c>
      <c r="Q12" s="193">
        <v>14</v>
      </c>
      <c r="R12" s="193" t="s">
        <v>201</v>
      </c>
      <c r="S12" s="149">
        <v>15</v>
      </c>
      <c r="T12" s="147">
        <v>16</v>
      </c>
      <c r="U12" s="149">
        <v>17</v>
      </c>
      <c r="V12" s="149" t="s">
        <v>202</v>
      </c>
      <c r="W12" s="147">
        <v>18</v>
      </c>
      <c r="X12" s="150">
        <v>19</v>
      </c>
    </row>
    <row r="13" spans="1:24" ht="15" customHeight="1" x14ac:dyDescent="0.25">
      <c r="A13" s="31">
        <v>1</v>
      </c>
      <c r="B13" s="172" t="str">
        <f>IF(Данные!D2="","26","01")</f>
        <v>01</v>
      </c>
      <c r="C13" s="63" t="str">
        <f>CONCATENATE("№",Данные!F2,";", TEXT(Данные!G2,"ДД.ММ.ГГГГ"))</f>
        <v>№DA000287#TTK0000200;30.09.2019</v>
      </c>
      <c r="D13" s="115" t="s">
        <v>145</v>
      </c>
      <c r="E13" s="115" t="s">
        <v>140</v>
      </c>
      <c r="F13" s="115" t="s">
        <v>43</v>
      </c>
      <c r="G13" s="115" t="s">
        <v>43</v>
      </c>
      <c r="H13" s="115" t="s">
        <v>145</v>
      </c>
      <c r="I13" s="63" t="str">
        <f>Данные!A2</f>
        <v>ООО «Инженерный центр «Осколлифтреммонтаж»</v>
      </c>
      <c r="J13" s="111" t="str">
        <f>CONCATENATE(Данные!D2,"/",Данные!E2)</f>
        <v>3128022317/312801001</v>
      </c>
      <c r="K13" s="151" t="s">
        <v>43</v>
      </c>
      <c r="L13" s="151" t="s">
        <v>43</v>
      </c>
      <c r="M13" s="152" t="s">
        <v>43</v>
      </c>
      <c r="N13" s="153" t="s">
        <v>43</v>
      </c>
      <c r="O13" s="154" t="s">
        <v>145</v>
      </c>
      <c r="P13" s="64">
        <f>Данные!K2</f>
        <v>23.13</v>
      </c>
      <c r="Q13" s="154">
        <f>Данные!H2</f>
        <v>19.28</v>
      </c>
      <c r="R13" s="154"/>
      <c r="S13" s="65"/>
      <c r="T13" s="65"/>
      <c r="U13" s="154">
        <f t="shared" ref="U13" si="0">P13-Q13</f>
        <v>3.8499999999999979</v>
      </c>
      <c r="V13" s="154"/>
      <c r="W13" s="65"/>
      <c r="X13" s="80"/>
    </row>
    <row r="14" spans="1:24" ht="15" customHeight="1" x14ac:dyDescent="0.25">
      <c r="A14" s="31">
        <v>2</v>
      </c>
      <c r="B14" s="172" t="str">
        <f>IF(Данные!D3="","26","01")</f>
        <v>01</v>
      </c>
      <c r="C14" s="63" t="str">
        <f>CONCATENATE("№",Данные!F3,";", TEXT(Данные!G3,"ДД.ММ.ГГГГ"))</f>
        <v>№DA000287#TTK0000201;30.09.2019</v>
      </c>
      <c r="D14" s="115" t="s">
        <v>145</v>
      </c>
      <c r="E14" s="115" t="s">
        <v>140</v>
      </c>
      <c r="F14" s="115" t="s">
        <v>43</v>
      </c>
      <c r="G14" s="115" t="s">
        <v>43</v>
      </c>
      <c r="H14" s="115" t="s">
        <v>145</v>
      </c>
      <c r="I14" s="63" t="str">
        <f>Данные!A3</f>
        <v>ООО «ВКМ»</v>
      </c>
      <c r="J14" s="111" t="str">
        <f>CONCATENATE(Данные!D3,"/",Данные!E3)</f>
        <v>3128051734/312801001</v>
      </c>
      <c r="K14" s="151" t="s">
        <v>43</v>
      </c>
      <c r="L14" s="151" t="s">
        <v>43</v>
      </c>
      <c r="M14" s="152" t="s">
        <v>43</v>
      </c>
      <c r="N14" s="153" t="s">
        <v>43</v>
      </c>
      <c r="O14" s="154" t="s">
        <v>145</v>
      </c>
      <c r="P14" s="64">
        <f>Данные!K3</f>
        <v>866.91</v>
      </c>
      <c r="Q14" s="154">
        <f>Данные!H3</f>
        <v>722.43</v>
      </c>
      <c r="R14" s="154"/>
      <c r="S14" s="65"/>
      <c r="T14" s="65"/>
      <c r="U14" s="154">
        <f t="shared" ref="U14:U77" si="1">P14-Q14</f>
        <v>144.48000000000002</v>
      </c>
      <c r="V14" s="154"/>
      <c r="W14" s="65"/>
      <c r="X14" s="80"/>
    </row>
    <row r="15" spans="1:24" ht="15" customHeight="1" x14ac:dyDescent="0.25">
      <c r="A15" s="31">
        <v>3</v>
      </c>
      <c r="B15" s="172" t="str">
        <f>IF(Данные!D4="","26","01")</f>
        <v>26</v>
      </c>
      <c r="C15" s="63" t="str">
        <f>CONCATENATE("№",Данные!F4,";", TEXT(Данные!G4,"ДД.ММ.ГГГГ"))</f>
        <v>№;00.01.1900</v>
      </c>
      <c r="D15" s="115" t="s">
        <v>145</v>
      </c>
      <c r="E15" s="115" t="s">
        <v>140</v>
      </c>
      <c r="F15" s="115" t="s">
        <v>43</v>
      </c>
      <c r="G15" s="115" t="s">
        <v>43</v>
      </c>
      <c r="H15" s="115" t="s">
        <v>145</v>
      </c>
      <c r="I15" s="63">
        <f>Данные!A4</f>
        <v>0</v>
      </c>
      <c r="J15" s="111" t="str">
        <f>CONCATENATE(Данные!D4,"/",Данные!E4)</f>
        <v>/</v>
      </c>
      <c r="K15" s="151" t="s">
        <v>43</v>
      </c>
      <c r="L15" s="151" t="s">
        <v>43</v>
      </c>
      <c r="M15" s="152" t="s">
        <v>43</v>
      </c>
      <c r="N15" s="153" t="s">
        <v>43</v>
      </c>
      <c r="O15" s="154" t="s">
        <v>145</v>
      </c>
      <c r="P15" s="64">
        <f>Данные!K4</f>
        <v>0</v>
      </c>
      <c r="Q15" s="154">
        <f>Данные!H4</f>
        <v>0</v>
      </c>
      <c r="R15" s="154"/>
      <c r="S15" s="65"/>
      <c r="T15" s="65"/>
      <c r="U15" s="154">
        <f t="shared" si="1"/>
        <v>0</v>
      </c>
      <c r="V15" s="154"/>
      <c r="W15" s="65"/>
      <c r="X15" s="80"/>
    </row>
    <row r="16" spans="1:24" ht="15" customHeight="1" x14ac:dyDescent="0.25">
      <c r="A16" s="31">
        <v>4</v>
      </c>
      <c r="B16" s="172" t="str">
        <f>IF(Данные!D5="","26","01")</f>
        <v>26</v>
      </c>
      <c r="C16" s="63" t="str">
        <f>CONCATENATE("№",Данные!F5,";", TEXT(Данные!G5,"ДД.ММ.ГГГГ"))</f>
        <v>№;00.01.1900</v>
      </c>
      <c r="D16" s="115" t="s">
        <v>145</v>
      </c>
      <c r="E16" s="115" t="s">
        <v>140</v>
      </c>
      <c r="F16" s="115" t="s">
        <v>43</v>
      </c>
      <c r="G16" s="115" t="s">
        <v>43</v>
      </c>
      <c r="H16" s="115" t="s">
        <v>145</v>
      </c>
      <c r="I16" s="63">
        <f>Данные!A5</f>
        <v>0</v>
      </c>
      <c r="J16" s="111" t="str">
        <f>CONCATENATE(Данные!D5,"/",Данные!E5)</f>
        <v>/</v>
      </c>
      <c r="K16" s="151" t="s">
        <v>43</v>
      </c>
      <c r="L16" s="151" t="s">
        <v>43</v>
      </c>
      <c r="M16" s="152" t="s">
        <v>43</v>
      </c>
      <c r="N16" s="153" t="s">
        <v>43</v>
      </c>
      <c r="O16" s="154" t="s">
        <v>145</v>
      </c>
      <c r="P16" s="64">
        <f>Данные!K5</f>
        <v>0</v>
      </c>
      <c r="Q16" s="154">
        <f>Данные!H5</f>
        <v>0</v>
      </c>
      <c r="R16" s="154"/>
      <c r="S16" s="65"/>
      <c r="T16" s="65"/>
      <c r="U16" s="154">
        <f t="shared" si="1"/>
        <v>0</v>
      </c>
      <c r="V16" s="154"/>
      <c r="W16" s="65"/>
      <c r="X16" s="80"/>
    </row>
    <row r="17" spans="1:24" ht="15" customHeight="1" x14ac:dyDescent="0.25">
      <c r="A17" s="31">
        <v>5</v>
      </c>
      <c r="B17" s="172" t="str">
        <f>IF(Данные!D6="","26","01")</f>
        <v>26</v>
      </c>
      <c r="C17" s="63" t="str">
        <f>CONCATENATE("№",Данные!F6,";", TEXT(Данные!G6,"ДД.ММ.ГГГГ"))</f>
        <v>№;00.01.1900</v>
      </c>
      <c r="D17" s="115" t="s">
        <v>145</v>
      </c>
      <c r="E17" s="115" t="s">
        <v>140</v>
      </c>
      <c r="F17" s="115" t="s">
        <v>43</v>
      </c>
      <c r="G17" s="115" t="s">
        <v>43</v>
      </c>
      <c r="H17" s="115" t="s">
        <v>145</v>
      </c>
      <c r="I17" s="63">
        <f>Данные!A6</f>
        <v>0</v>
      </c>
      <c r="J17" s="111" t="str">
        <f>CONCATENATE(Данные!D6,"/",Данные!E6)</f>
        <v>/</v>
      </c>
      <c r="K17" s="151" t="s">
        <v>43</v>
      </c>
      <c r="L17" s="151" t="s">
        <v>43</v>
      </c>
      <c r="M17" s="152" t="s">
        <v>43</v>
      </c>
      <c r="N17" s="153" t="s">
        <v>43</v>
      </c>
      <c r="O17" s="154" t="s">
        <v>145</v>
      </c>
      <c r="P17" s="64">
        <f>Данные!K6</f>
        <v>0</v>
      </c>
      <c r="Q17" s="154">
        <f>Данные!H6</f>
        <v>0</v>
      </c>
      <c r="R17" s="154"/>
      <c r="S17" s="65"/>
      <c r="T17" s="65"/>
      <c r="U17" s="154">
        <f t="shared" si="1"/>
        <v>0</v>
      </c>
      <c r="V17" s="154"/>
      <c r="W17" s="65"/>
      <c r="X17" s="80"/>
    </row>
    <row r="18" spans="1:24" ht="15" customHeight="1" x14ac:dyDescent="0.25">
      <c r="A18" s="31">
        <v>6</v>
      </c>
      <c r="B18" s="172" t="str">
        <f>IF(Данные!D7="","26","01")</f>
        <v>26</v>
      </c>
      <c r="C18" s="63" t="str">
        <f>CONCATENATE("№",Данные!F7,";", TEXT(Данные!G7,"ДД.ММ.ГГГГ"))</f>
        <v>№;00.01.1900</v>
      </c>
      <c r="D18" s="115" t="s">
        <v>145</v>
      </c>
      <c r="E18" s="115" t="s">
        <v>140</v>
      </c>
      <c r="F18" s="115" t="s">
        <v>43</v>
      </c>
      <c r="G18" s="115" t="s">
        <v>43</v>
      </c>
      <c r="H18" s="115" t="s">
        <v>145</v>
      </c>
      <c r="I18" s="63">
        <f>Данные!A7</f>
        <v>0</v>
      </c>
      <c r="J18" s="111" t="str">
        <f>CONCATENATE(Данные!D7,"/",Данные!E7)</f>
        <v>/</v>
      </c>
      <c r="K18" s="151" t="s">
        <v>43</v>
      </c>
      <c r="L18" s="151" t="s">
        <v>43</v>
      </c>
      <c r="M18" s="152" t="s">
        <v>43</v>
      </c>
      <c r="N18" s="153" t="s">
        <v>43</v>
      </c>
      <c r="O18" s="154" t="s">
        <v>145</v>
      </c>
      <c r="P18" s="64">
        <f>Данные!K7</f>
        <v>0</v>
      </c>
      <c r="Q18" s="154">
        <f>Данные!H7</f>
        <v>0</v>
      </c>
      <c r="R18" s="154"/>
      <c r="S18" s="65"/>
      <c r="T18" s="65"/>
      <c r="U18" s="154">
        <f t="shared" si="1"/>
        <v>0</v>
      </c>
      <c r="V18" s="154"/>
      <c r="W18" s="65"/>
      <c r="X18" s="80"/>
    </row>
    <row r="19" spans="1:24" ht="15" customHeight="1" x14ac:dyDescent="0.25">
      <c r="A19" s="31">
        <v>7</v>
      </c>
      <c r="B19" s="172" t="str">
        <f>IF(Данные!D8="","26","01")</f>
        <v>26</v>
      </c>
      <c r="C19" s="63" t="str">
        <f>CONCATENATE("№",Данные!F8,";", TEXT(Данные!G8,"ДД.ММ.ГГГГ"))</f>
        <v>№;00.01.1900</v>
      </c>
      <c r="D19" s="115" t="s">
        <v>145</v>
      </c>
      <c r="E19" s="115" t="s">
        <v>140</v>
      </c>
      <c r="F19" s="115" t="s">
        <v>43</v>
      </c>
      <c r="G19" s="115" t="s">
        <v>43</v>
      </c>
      <c r="H19" s="115" t="s">
        <v>145</v>
      </c>
      <c r="I19" s="63">
        <f>Данные!A8</f>
        <v>0</v>
      </c>
      <c r="J19" s="111" t="str">
        <f>CONCATENATE(Данные!D8,"/",Данные!E8)</f>
        <v>/</v>
      </c>
      <c r="K19" s="151" t="s">
        <v>43</v>
      </c>
      <c r="L19" s="151" t="s">
        <v>43</v>
      </c>
      <c r="M19" s="152" t="s">
        <v>43</v>
      </c>
      <c r="N19" s="153" t="s">
        <v>43</v>
      </c>
      <c r="O19" s="154" t="s">
        <v>145</v>
      </c>
      <c r="P19" s="64">
        <f>Данные!K8</f>
        <v>0</v>
      </c>
      <c r="Q19" s="154">
        <f>Данные!H8</f>
        <v>0</v>
      </c>
      <c r="R19" s="154"/>
      <c r="S19" s="65"/>
      <c r="T19" s="65"/>
      <c r="U19" s="154">
        <f t="shared" si="1"/>
        <v>0</v>
      </c>
      <c r="V19" s="154"/>
      <c r="W19" s="65"/>
      <c r="X19" s="80"/>
    </row>
    <row r="20" spans="1:24" ht="15" customHeight="1" x14ac:dyDescent="0.25">
      <c r="A20" s="31">
        <v>8</v>
      </c>
      <c r="B20" s="172" t="str">
        <f>IF(Данные!D9="","26","01")</f>
        <v>26</v>
      </c>
      <c r="C20" s="63" t="str">
        <f>CONCATENATE("№",Данные!F9,";", TEXT(Данные!G9,"ДД.ММ.ГГГГ"))</f>
        <v>№;00.01.1900</v>
      </c>
      <c r="D20" s="115" t="s">
        <v>145</v>
      </c>
      <c r="E20" s="115" t="s">
        <v>140</v>
      </c>
      <c r="F20" s="115" t="s">
        <v>43</v>
      </c>
      <c r="G20" s="115" t="s">
        <v>43</v>
      </c>
      <c r="H20" s="115" t="s">
        <v>145</v>
      </c>
      <c r="I20" s="63">
        <f>Данные!A9</f>
        <v>0</v>
      </c>
      <c r="J20" s="111" t="str">
        <f>CONCATENATE(Данные!D9,"/",Данные!E9)</f>
        <v>/</v>
      </c>
      <c r="K20" s="151" t="s">
        <v>43</v>
      </c>
      <c r="L20" s="151" t="s">
        <v>43</v>
      </c>
      <c r="M20" s="152" t="s">
        <v>43</v>
      </c>
      <c r="N20" s="153" t="s">
        <v>43</v>
      </c>
      <c r="O20" s="154" t="s">
        <v>145</v>
      </c>
      <c r="P20" s="64">
        <f>Данные!K9</f>
        <v>0</v>
      </c>
      <c r="Q20" s="154">
        <f>Данные!H9</f>
        <v>0</v>
      </c>
      <c r="R20" s="154"/>
      <c r="S20" s="65"/>
      <c r="T20" s="65"/>
      <c r="U20" s="154">
        <f t="shared" si="1"/>
        <v>0</v>
      </c>
      <c r="V20" s="154"/>
      <c r="W20" s="65"/>
      <c r="X20" s="80"/>
    </row>
    <row r="21" spans="1:24" ht="15" customHeight="1" x14ac:dyDescent="0.25">
      <c r="A21" s="31">
        <v>9</v>
      </c>
      <c r="B21" s="172" t="str">
        <f>IF(Данные!D10="","26","01")</f>
        <v>26</v>
      </c>
      <c r="C21" s="63" t="str">
        <f>CONCATENATE("№",Данные!F10,";", TEXT(Данные!G10,"ДД.ММ.ГГГГ"))</f>
        <v>№;00.01.1900</v>
      </c>
      <c r="D21" s="115" t="s">
        <v>145</v>
      </c>
      <c r="E21" s="115" t="s">
        <v>140</v>
      </c>
      <c r="F21" s="115" t="s">
        <v>43</v>
      </c>
      <c r="G21" s="115" t="s">
        <v>43</v>
      </c>
      <c r="H21" s="115" t="s">
        <v>145</v>
      </c>
      <c r="I21" s="63">
        <f>Данные!A10</f>
        <v>0</v>
      </c>
      <c r="J21" s="111" t="str">
        <f>CONCATENATE(Данные!D10,"/",Данные!E10)</f>
        <v>/</v>
      </c>
      <c r="K21" s="151" t="s">
        <v>43</v>
      </c>
      <c r="L21" s="151" t="s">
        <v>43</v>
      </c>
      <c r="M21" s="152" t="s">
        <v>43</v>
      </c>
      <c r="N21" s="153" t="s">
        <v>43</v>
      </c>
      <c r="O21" s="154" t="s">
        <v>145</v>
      </c>
      <c r="P21" s="64">
        <f>Данные!K10</f>
        <v>0</v>
      </c>
      <c r="Q21" s="154">
        <f>Данные!H10</f>
        <v>0</v>
      </c>
      <c r="R21" s="154"/>
      <c r="S21" s="65"/>
      <c r="T21" s="65"/>
      <c r="U21" s="154">
        <f t="shared" si="1"/>
        <v>0</v>
      </c>
      <c r="V21" s="154"/>
      <c r="W21" s="65"/>
      <c r="X21" s="80"/>
    </row>
    <row r="22" spans="1:24" ht="15" customHeight="1" x14ac:dyDescent="0.25">
      <c r="A22" s="31">
        <v>10</v>
      </c>
      <c r="B22" s="172" t="str">
        <f>IF(Данные!D11="","26","01")</f>
        <v>26</v>
      </c>
      <c r="C22" s="63" t="str">
        <f>CONCATENATE("№",Данные!F11,";", TEXT(Данные!G11,"ДД.ММ.ГГГГ"))</f>
        <v>№;00.01.1900</v>
      </c>
      <c r="D22" s="115" t="s">
        <v>145</v>
      </c>
      <c r="E22" s="115" t="s">
        <v>140</v>
      </c>
      <c r="F22" s="115" t="s">
        <v>43</v>
      </c>
      <c r="G22" s="115" t="s">
        <v>43</v>
      </c>
      <c r="H22" s="115" t="s">
        <v>145</v>
      </c>
      <c r="I22" s="63">
        <f>Данные!A11</f>
        <v>0</v>
      </c>
      <c r="J22" s="111" t="str">
        <f>CONCATENATE(Данные!D11,"/",Данные!E11)</f>
        <v>/</v>
      </c>
      <c r="K22" s="151" t="s">
        <v>43</v>
      </c>
      <c r="L22" s="151" t="s">
        <v>43</v>
      </c>
      <c r="M22" s="152" t="s">
        <v>43</v>
      </c>
      <c r="N22" s="153" t="s">
        <v>43</v>
      </c>
      <c r="O22" s="154" t="s">
        <v>145</v>
      </c>
      <c r="P22" s="64">
        <f>Данные!K11</f>
        <v>0</v>
      </c>
      <c r="Q22" s="154">
        <f>Данные!H11</f>
        <v>0</v>
      </c>
      <c r="R22" s="154"/>
      <c r="S22" s="65"/>
      <c r="T22" s="65"/>
      <c r="U22" s="154">
        <f t="shared" si="1"/>
        <v>0</v>
      </c>
      <c r="V22" s="154"/>
      <c r="W22" s="65"/>
      <c r="X22" s="80"/>
    </row>
    <row r="23" spans="1:24" ht="15" customHeight="1" x14ac:dyDescent="0.25">
      <c r="A23" s="31">
        <v>11</v>
      </c>
      <c r="B23" s="172" t="str">
        <f>IF(Данные!D12="","26","01")</f>
        <v>26</v>
      </c>
      <c r="C23" s="63" t="str">
        <f>CONCATENATE("№",Данные!F12,";", TEXT(Данные!G12,"ДД.ММ.ГГГГ"))</f>
        <v>№;00.01.1900</v>
      </c>
      <c r="D23" s="115" t="s">
        <v>145</v>
      </c>
      <c r="E23" s="115" t="s">
        <v>140</v>
      </c>
      <c r="F23" s="115" t="s">
        <v>43</v>
      </c>
      <c r="G23" s="115" t="s">
        <v>43</v>
      </c>
      <c r="H23" s="115" t="s">
        <v>145</v>
      </c>
      <c r="I23" s="63">
        <f>Данные!A12</f>
        <v>0</v>
      </c>
      <c r="J23" s="111" t="str">
        <f>CONCATENATE(Данные!D12,"/",Данные!E12)</f>
        <v>/</v>
      </c>
      <c r="K23" s="151" t="s">
        <v>43</v>
      </c>
      <c r="L23" s="151" t="s">
        <v>43</v>
      </c>
      <c r="M23" s="152" t="s">
        <v>43</v>
      </c>
      <c r="N23" s="153" t="s">
        <v>43</v>
      </c>
      <c r="O23" s="154" t="s">
        <v>145</v>
      </c>
      <c r="P23" s="64">
        <f>Данные!K12</f>
        <v>0</v>
      </c>
      <c r="Q23" s="154">
        <f>Данные!H12</f>
        <v>0</v>
      </c>
      <c r="R23" s="154"/>
      <c r="S23" s="65"/>
      <c r="T23" s="65"/>
      <c r="U23" s="154">
        <f t="shared" si="1"/>
        <v>0</v>
      </c>
      <c r="V23" s="154"/>
      <c r="W23" s="65"/>
      <c r="X23" s="80"/>
    </row>
    <row r="24" spans="1:24" ht="15" customHeight="1" x14ac:dyDescent="0.25">
      <c r="A24" s="31">
        <v>12</v>
      </c>
      <c r="B24" s="172" t="str">
        <f>IF(Данные!D13="","26","01")</f>
        <v>26</v>
      </c>
      <c r="C24" s="63" t="str">
        <f>CONCATENATE("№",Данные!F13,";", TEXT(Данные!G13,"ДД.ММ.ГГГГ"))</f>
        <v>№;00.01.1900</v>
      </c>
      <c r="D24" s="115" t="s">
        <v>145</v>
      </c>
      <c r="E24" s="115" t="s">
        <v>140</v>
      </c>
      <c r="F24" s="115" t="s">
        <v>43</v>
      </c>
      <c r="G24" s="115" t="s">
        <v>43</v>
      </c>
      <c r="H24" s="115" t="s">
        <v>145</v>
      </c>
      <c r="I24" s="63">
        <f>Данные!A13</f>
        <v>0</v>
      </c>
      <c r="J24" s="111" t="str">
        <f>CONCATENATE(Данные!D13,"/",Данные!E13)</f>
        <v>/</v>
      </c>
      <c r="K24" s="151" t="s">
        <v>43</v>
      </c>
      <c r="L24" s="151" t="s">
        <v>43</v>
      </c>
      <c r="M24" s="152" t="s">
        <v>43</v>
      </c>
      <c r="N24" s="153" t="s">
        <v>43</v>
      </c>
      <c r="O24" s="154" t="s">
        <v>145</v>
      </c>
      <c r="P24" s="64">
        <f>Данные!K13</f>
        <v>0</v>
      </c>
      <c r="Q24" s="154">
        <f>Данные!H13</f>
        <v>0</v>
      </c>
      <c r="R24" s="154"/>
      <c r="S24" s="65"/>
      <c r="T24" s="65"/>
      <c r="U24" s="154">
        <f t="shared" si="1"/>
        <v>0</v>
      </c>
      <c r="V24" s="154"/>
      <c r="W24" s="65"/>
      <c r="X24" s="80"/>
    </row>
    <row r="25" spans="1:24" ht="15" customHeight="1" x14ac:dyDescent="0.25">
      <c r="A25" s="31">
        <v>13</v>
      </c>
      <c r="B25" s="172" t="str">
        <f>IF(Данные!D14="","26","01")</f>
        <v>26</v>
      </c>
      <c r="C25" s="63" t="str">
        <f>CONCATENATE("№",Данные!F14,";", TEXT(Данные!G14,"ДД.ММ.ГГГГ"))</f>
        <v>№;00.01.1900</v>
      </c>
      <c r="D25" s="115" t="s">
        <v>145</v>
      </c>
      <c r="E25" s="115" t="s">
        <v>140</v>
      </c>
      <c r="F25" s="115" t="s">
        <v>43</v>
      </c>
      <c r="G25" s="115" t="s">
        <v>43</v>
      </c>
      <c r="H25" s="115" t="s">
        <v>145</v>
      </c>
      <c r="I25" s="63">
        <f>Данные!A14</f>
        <v>0</v>
      </c>
      <c r="J25" s="111" t="str">
        <f>CONCATENATE(Данные!D14,"/",Данные!E14)</f>
        <v>/</v>
      </c>
      <c r="K25" s="151" t="s">
        <v>43</v>
      </c>
      <c r="L25" s="151" t="s">
        <v>43</v>
      </c>
      <c r="M25" s="152" t="s">
        <v>43</v>
      </c>
      <c r="N25" s="153" t="s">
        <v>43</v>
      </c>
      <c r="O25" s="154" t="s">
        <v>145</v>
      </c>
      <c r="P25" s="64">
        <f>Данные!K14</f>
        <v>0</v>
      </c>
      <c r="Q25" s="154">
        <f>Данные!H14</f>
        <v>0</v>
      </c>
      <c r="R25" s="154"/>
      <c r="S25" s="65"/>
      <c r="T25" s="65"/>
      <c r="U25" s="154">
        <f t="shared" si="1"/>
        <v>0</v>
      </c>
      <c r="V25" s="154"/>
      <c r="W25" s="65"/>
      <c r="X25" s="80"/>
    </row>
    <row r="26" spans="1:24" ht="15" customHeight="1" x14ac:dyDescent="0.25">
      <c r="A26" s="31">
        <v>14</v>
      </c>
      <c r="B26" s="172" t="str">
        <f>IF(Данные!D15="","26","01")</f>
        <v>26</v>
      </c>
      <c r="C26" s="63" t="str">
        <f>CONCATENATE("№",Данные!F15,";", TEXT(Данные!G15,"ДД.ММ.ГГГГ"))</f>
        <v>№;00.01.1900</v>
      </c>
      <c r="D26" s="115" t="s">
        <v>145</v>
      </c>
      <c r="E26" s="115" t="s">
        <v>140</v>
      </c>
      <c r="F26" s="115" t="s">
        <v>43</v>
      </c>
      <c r="G26" s="115" t="s">
        <v>43</v>
      </c>
      <c r="H26" s="115" t="s">
        <v>145</v>
      </c>
      <c r="I26" s="63">
        <f>Данные!A15</f>
        <v>0</v>
      </c>
      <c r="J26" s="111" t="str">
        <f>CONCATENATE(Данные!D15,"/",Данные!E15)</f>
        <v>/</v>
      </c>
      <c r="K26" s="151" t="s">
        <v>43</v>
      </c>
      <c r="L26" s="151" t="s">
        <v>43</v>
      </c>
      <c r="M26" s="152" t="s">
        <v>43</v>
      </c>
      <c r="N26" s="153" t="s">
        <v>43</v>
      </c>
      <c r="O26" s="154" t="s">
        <v>145</v>
      </c>
      <c r="P26" s="64">
        <f>Данные!K15</f>
        <v>0</v>
      </c>
      <c r="Q26" s="154">
        <f>Данные!H15</f>
        <v>0</v>
      </c>
      <c r="R26" s="154"/>
      <c r="S26" s="65"/>
      <c r="T26" s="65"/>
      <c r="U26" s="154">
        <f t="shared" si="1"/>
        <v>0</v>
      </c>
      <c r="V26" s="154"/>
      <c r="W26" s="65"/>
      <c r="X26" s="80"/>
    </row>
    <row r="27" spans="1:24" ht="15" customHeight="1" x14ac:dyDescent="0.25">
      <c r="A27" s="31">
        <v>15</v>
      </c>
      <c r="B27" s="172" t="str">
        <f>IF(Данные!D16="","26","01")</f>
        <v>26</v>
      </c>
      <c r="C27" s="63" t="str">
        <f>CONCATENATE("№",Данные!F16,";", TEXT(Данные!G16,"ДД.ММ.ГГГГ"))</f>
        <v>№;00.01.1900</v>
      </c>
      <c r="D27" s="115" t="s">
        <v>145</v>
      </c>
      <c r="E27" s="115" t="s">
        <v>140</v>
      </c>
      <c r="F27" s="115" t="s">
        <v>43</v>
      </c>
      <c r="G27" s="115" t="s">
        <v>43</v>
      </c>
      <c r="H27" s="115" t="s">
        <v>145</v>
      </c>
      <c r="I27" s="63">
        <f>Данные!A16</f>
        <v>0</v>
      </c>
      <c r="J27" s="111" t="str">
        <f>CONCATENATE(Данные!D16,"/",Данные!E16)</f>
        <v>/</v>
      </c>
      <c r="K27" s="151" t="s">
        <v>43</v>
      </c>
      <c r="L27" s="151" t="s">
        <v>43</v>
      </c>
      <c r="M27" s="152" t="s">
        <v>43</v>
      </c>
      <c r="N27" s="153" t="s">
        <v>43</v>
      </c>
      <c r="O27" s="154" t="s">
        <v>145</v>
      </c>
      <c r="P27" s="64">
        <f>Данные!K16</f>
        <v>0</v>
      </c>
      <c r="Q27" s="154">
        <f>Данные!H16</f>
        <v>0</v>
      </c>
      <c r="R27" s="154"/>
      <c r="S27" s="65"/>
      <c r="T27" s="65"/>
      <c r="U27" s="154">
        <f t="shared" si="1"/>
        <v>0</v>
      </c>
      <c r="V27" s="154"/>
      <c r="W27" s="65"/>
      <c r="X27" s="80"/>
    </row>
    <row r="28" spans="1:24" ht="15" customHeight="1" x14ac:dyDescent="0.25">
      <c r="A28" s="31">
        <v>16</v>
      </c>
      <c r="B28" s="172" t="str">
        <f>IF(Данные!D17="","26","01")</f>
        <v>26</v>
      </c>
      <c r="C28" s="63" t="str">
        <f>CONCATENATE("№",Данные!F17,";", TEXT(Данные!G17,"ДД.ММ.ГГГГ"))</f>
        <v>№;00.01.1900</v>
      </c>
      <c r="D28" s="115" t="s">
        <v>145</v>
      </c>
      <c r="E28" s="115" t="s">
        <v>140</v>
      </c>
      <c r="F28" s="115" t="s">
        <v>43</v>
      </c>
      <c r="G28" s="115" t="s">
        <v>43</v>
      </c>
      <c r="H28" s="115" t="s">
        <v>145</v>
      </c>
      <c r="I28" s="63">
        <f>Данные!A17</f>
        <v>0</v>
      </c>
      <c r="J28" s="111" t="str">
        <f>CONCATENATE(Данные!D17,"/",Данные!E17)</f>
        <v>/</v>
      </c>
      <c r="K28" s="151" t="s">
        <v>43</v>
      </c>
      <c r="L28" s="151" t="s">
        <v>43</v>
      </c>
      <c r="M28" s="152" t="s">
        <v>43</v>
      </c>
      <c r="N28" s="153" t="s">
        <v>43</v>
      </c>
      <c r="O28" s="154" t="s">
        <v>145</v>
      </c>
      <c r="P28" s="64">
        <f>Данные!K17</f>
        <v>0</v>
      </c>
      <c r="Q28" s="154">
        <f>Данные!H17</f>
        <v>0</v>
      </c>
      <c r="R28" s="154"/>
      <c r="S28" s="65"/>
      <c r="T28" s="65"/>
      <c r="U28" s="154">
        <f t="shared" si="1"/>
        <v>0</v>
      </c>
      <c r="V28" s="154"/>
      <c r="W28" s="65"/>
      <c r="X28" s="80"/>
    </row>
    <row r="29" spans="1:24" ht="15" customHeight="1" x14ac:dyDescent="0.25">
      <c r="A29" s="31">
        <v>17</v>
      </c>
      <c r="B29" s="172" t="str">
        <f>IF(Данные!D18="","26","01")</f>
        <v>26</v>
      </c>
      <c r="C29" s="63" t="str">
        <f>CONCATENATE("№",Данные!F18,";", TEXT(Данные!G18,"ДД.ММ.ГГГГ"))</f>
        <v>№;00.01.1900</v>
      </c>
      <c r="D29" s="115" t="s">
        <v>145</v>
      </c>
      <c r="E29" s="115" t="s">
        <v>140</v>
      </c>
      <c r="F29" s="115" t="s">
        <v>43</v>
      </c>
      <c r="G29" s="115" t="s">
        <v>43</v>
      </c>
      <c r="H29" s="115" t="s">
        <v>145</v>
      </c>
      <c r="I29" s="63">
        <f>Данные!A18</f>
        <v>0</v>
      </c>
      <c r="J29" s="111" t="str">
        <f>CONCATENATE(Данные!D18,"/",Данные!E18)</f>
        <v>/</v>
      </c>
      <c r="K29" s="151" t="s">
        <v>43</v>
      </c>
      <c r="L29" s="151" t="s">
        <v>43</v>
      </c>
      <c r="M29" s="152" t="s">
        <v>43</v>
      </c>
      <c r="N29" s="153" t="s">
        <v>43</v>
      </c>
      <c r="O29" s="154" t="s">
        <v>145</v>
      </c>
      <c r="P29" s="64">
        <f>Данные!K18</f>
        <v>0</v>
      </c>
      <c r="Q29" s="154">
        <f>Данные!H18</f>
        <v>0</v>
      </c>
      <c r="R29" s="154"/>
      <c r="S29" s="65"/>
      <c r="T29" s="65"/>
      <c r="U29" s="154">
        <f t="shared" si="1"/>
        <v>0</v>
      </c>
      <c r="V29" s="154"/>
      <c r="W29" s="65"/>
      <c r="X29" s="80"/>
    </row>
    <row r="30" spans="1:24" ht="15" customHeight="1" x14ac:dyDescent="0.25">
      <c r="A30" s="31">
        <v>18</v>
      </c>
      <c r="B30" s="172" t="str">
        <f>IF(Данные!D19="","26","01")</f>
        <v>26</v>
      </c>
      <c r="C30" s="63" t="str">
        <f>CONCATENATE("№",Данные!F19,";", TEXT(Данные!G19,"ДД.ММ.ГГГГ"))</f>
        <v>№;00.01.1900</v>
      </c>
      <c r="D30" s="115" t="s">
        <v>145</v>
      </c>
      <c r="E30" s="115" t="s">
        <v>140</v>
      </c>
      <c r="F30" s="115" t="s">
        <v>43</v>
      </c>
      <c r="G30" s="115" t="s">
        <v>43</v>
      </c>
      <c r="H30" s="115" t="s">
        <v>145</v>
      </c>
      <c r="I30" s="63">
        <f>Данные!A19</f>
        <v>0</v>
      </c>
      <c r="J30" s="111" t="str">
        <f>CONCATENATE(Данные!D19,"/",Данные!E19)</f>
        <v>/</v>
      </c>
      <c r="K30" s="151" t="s">
        <v>43</v>
      </c>
      <c r="L30" s="151" t="s">
        <v>43</v>
      </c>
      <c r="M30" s="152" t="s">
        <v>43</v>
      </c>
      <c r="N30" s="153" t="s">
        <v>43</v>
      </c>
      <c r="O30" s="154" t="s">
        <v>145</v>
      </c>
      <c r="P30" s="64">
        <f>Данные!K19</f>
        <v>0</v>
      </c>
      <c r="Q30" s="154">
        <f>Данные!H19</f>
        <v>0</v>
      </c>
      <c r="R30" s="154"/>
      <c r="S30" s="65"/>
      <c r="T30" s="65"/>
      <c r="U30" s="154">
        <f t="shared" si="1"/>
        <v>0</v>
      </c>
      <c r="V30" s="154"/>
      <c r="W30" s="65"/>
      <c r="X30" s="80"/>
    </row>
    <row r="31" spans="1:24" ht="15" customHeight="1" x14ac:dyDescent="0.25">
      <c r="A31" s="31">
        <v>19</v>
      </c>
      <c r="B31" s="172" t="str">
        <f>IF(Данные!D20="","26","01")</f>
        <v>26</v>
      </c>
      <c r="C31" s="63" t="str">
        <f>CONCATENATE("№",Данные!F20,";", TEXT(Данные!G20,"ДД.ММ.ГГГГ"))</f>
        <v>№;00.01.1900</v>
      </c>
      <c r="D31" s="115" t="s">
        <v>145</v>
      </c>
      <c r="E31" s="115" t="s">
        <v>140</v>
      </c>
      <c r="F31" s="115" t="s">
        <v>43</v>
      </c>
      <c r="G31" s="115" t="s">
        <v>43</v>
      </c>
      <c r="H31" s="115" t="s">
        <v>145</v>
      </c>
      <c r="I31" s="63">
        <f>Данные!A20</f>
        <v>0</v>
      </c>
      <c r="J31" s="111" t="str">
        <f>CONCATENATE(Данные!D20,"/",Данные!E20)</f>
        <v>/</v>
      </c>
      <c r="K31" s="151" t="s">
        <v>43</v>
      </c>
      <c r="L31" s="151" t="s">
        <v>43</v>
      </c>
      <c r="M31" s="152" t="s">
        <v>43</v>
      </c>
      <c r="N31" s="153" t="s">
        <v>43</v>
      </c>
      <c r="O31" s="154" t="s">
        <v>145</v>
      </c>
      <c r="P31" s="64">
        <f>Данные!K20</f>
        <v>0</v>
      </c>
      <c r="Q31" s="154">
        <f>Данные!H20</f>
        <v>0</v>
      </c>
      <c r="R31" s="154"/>
      <c r="S31" s="65"/>
      <c r="T31" s="65"/>
      <c r="U31" s="154">
        <f t="shared" si="1"/>
        <v>0</v>
      </c>
      <c r="V31" s="154"/>
      <c r="W31" s="65"/>
      <c r="X31" s="80"/>
    </row>
    <row r="32" spans="1:24" ht="15" customHeight="1" x14ac:dyDescent="0.25">
      <c r="A32" s="31">
        <v>20</v>
      </c>
      <c r="B32" s="172" t="str">
        <f>IF(Данные!D21="","26","01")</f>
        <v>26</v>
      </c>
      <c r="C32" s="63" t="str">
        <f>CONCATENATE("№",Данные!F21,";", TEXT(Данные!G21,"ДД.ММ.ГГГГ"))</f>
        <v>№;00.01.1900</v>
      </c>
      <c r="D32" s="115" t="s">
        <v>145</v>
      </c>
      <c r="E32" s="115" t="s">
        <v>140</v>
      </c>
      <c r="F32" s="115" t="s">
        <v>43</v>
      </c>
      <c r="G32" s="115" t="s">
        <v>43</v>
      </c>
      <c r="H32" s="115" t="s">
        <v>145</v>
      </c>
      <c r="I32" s="63">
        <f>Данные!A21</f>
        <v>0</v>
      </c>
      <c r="J32" s="111" t="str">
        <f>CONCATENATE(Данные!D21,"/",Данные!E21)</f>
        <v>/</v>
      </c>
      <c r="K32" s="151" t="s">
        <v>43</v>
      </c>
      <c r="L32" s="151" t="s">
        <v>43</v>
      </c>
      <c r="M32" s="152" t="s">
        <v>43</v>
      </c>
      <c r="N32" s="153" t="s">
        <v>43</v>
      </c>
      <c r="O32" s="154" t="s">
        <v>145</v>
      </c>
      <c r="P32" s="64">
        <f>Данные!K21</f>
        <v>0</v>
      </c>
      <c r="Q32" s="154">
        <f>Данные!H21</f>
        <v>0</v>
      </c>
      <c r="R32" s="154"/>
      <c r="S32" s="65"/>
      <c r="T32" s="65"/>
      <c r="U32" s="154">
        <f t="shared" si="1"/>
        <v>0</v>
      </c>
      <c r="V32" s="154"/>
      <c r="W32" s="65"/>
      <c r="X32" s="80"/>
    </row>
    <row r="33" spans="1:24" ht="15" customHeight="1" x14ac:dyDescent="0.25">
      <c r="A33" s="31">
        <v>21</v>
      </c>
      <c r="B33" s="172" t="str">
        <f>IF(Данные!D22="","26","01")</f>
        <v>26</v>
      </c>
      <c r="C33" s="63" t="str">
        <f>CONCATENATE("№",Данные!F22,";", TEXT(Данные!G22,"ДД.ММ.ГГГГ"))</f>
        <v>№;00.01.1900</v>
      </c>
      <c r="D33" s="115" t="s">
        <v>145</v>
      </c>
      <c r="E33" s="115" t="s">
        <v>140</v>
      </c>
      <c r="F33" s="115" t="s">
        <v>43</v>
      </c>
      <c r="G33" s="115" t="s">
        <v>43</v>
      </c>
      <c r="H33" s="115" t="s">
        <v>145</v>
      </c>
      <c r="I33" s="63">
        <f>Данные!A22</f>
        <v>0</v>
      </c>
      <c r="J33" s="111" t="str">
        <f>CONCATENATE(Данные!D22,"/",Данные!E22)</f>
        <v>/</v>
      </c>
      <c r="K33" s="151" t="s">
        <v>43</v>
      </c>
      <c r="L33" s="151" t="s">
        <v>43</v>
      </c>
      <c r="M33" s="152" t="s">
        <v>43</v>
      </c>
      <c r="N33" s="153" t="s">
        <v>43</v>
      </c>
      <c r="O33" s="154" t="s">
        <v>145</v>
      </c>
      <c r="P33" s="64">
        <f>Данные!K22</f>
        <v>0</v>
      </c>
      <c r="Q33" s="154">
        <f>Данные!H22</f>
        <v>0</v>
      </c>
      <c r="R33" s="154"/>
      <c r="S33" s="65"/>
      <c r="T33" s="65"/>
      <c r="U33" s="154">
        <f t="shared" si="1"/>
        <v>0</v>
      </c>
      <c r="V33" s="154"/>
      <c r="W33" s="65"/>
      <c r="X33" s="80"/>
    </row>
    <row r="34" spans="1:24" ht="15" customHeight="1" x14ac:dyDescent="0.25">
      <c r="A34" s="31">
        <v>22</v>
      </c>
      <c r="B34" s="172" t="str">
        <f>IF(Данные!D23="","26","01")</f>
        <v>26</v>
      </c>
      <c r="C34" s="63" t="str">
        <f>CONCATENATE("№",Данные!F23,";", TEXT(Данные!G23,"ДД.ММ.ГГГГ"))</f>
        <v>№;00.01.1900</v>
      </c>
      <c r="D34" s="115" t="s">
        <v>145</v>
      </c>
      <c r="E34" s="115" t="s">
        <v>140</v>
      </c>
      <c r="F34" s="115" t="s">
        <v>43</v>
      </c>
      <c r="G34" s="115" t="s">
        <v>43</v>
      </c>
      <c r="H34" s="115" t="s">
        <v>145</v>
      </c>
      <c r="I34" s="63">
        <f>Данные!A23</f>
        <v>0</v>
      </c>
      <c r="J34" s="111" t="str">
        <f>CONCATENATE(Данные!D23,"/",Данные!E23)</f>
        <v>/</v>
      </c>
      <c r="K34" s="151" t="s">
        <v>43</v>
      </c>
      <c r="L34" s="151" t="s">
        <v>43</v>
      </c>
      <c r="M34" s="152" t="s">
        <v>43</v>
      </c>
      <c r="N34" s="153" t="s">
        <v>43</v>
      </c>
      <c r="O34" s="154" t="s">
        <v>145</v>
      </c>
      <c r="P34" s="64">
        <f>Данные!K23</f>
        <v>0</v>
      </c>
      <c r="Q34" s="154">
        <f>Данные!H23</f>
        <v>0</v>
      </c>
      <c r="R34" s="154"/>
      <c r="S34" s="65"/>
      <c r="T34" s="65"/>
      <c r="U34" s="154">
        <f t="shared" si="1"/>
        <v>0</v>
      </c>
      <c r="V34" s="154"/>
      <c r="W34" s="65"/>
      <c r="X34" s="80"/>
    </row>
    <row r="35" spans="1:24" ht="15" customHeight="1" x14ac:dyDescent="0.25">
      <c r="A35" s="31">
        <v>23</v>
      </c>
      <c r="B35" s="172" t="str">
        <f>IF(Данные!D24="","26","01")</f>
        <v>26</v>
      </c>
      <c r="C35" s="63" t="str">
        <f>CONCATENATE("№",Данные!F24,";", TEXT(Данные!G24,"ДД.ММ.ГГГГ"))</f>
        <v>№;00.01.1900</v>
      </c>
      <c r="D35" s="115" t="s">
        <v>145</v>
      </c>
      <c r="E35" s="115" t="s">
        <v>140</v>
      </c>
      <c r="F35" s="115" t="s">
        <v>43</v>
      </c>
      <c r="G35" s="115" t="s">
        <v>43</v>
      </c>
      <c r="H35" s="115" t="s">
        <v>145</v>
      </c>
      <c r="I35" s="63">
        <f>Данные!A24</f>
        <v>0</v>
      </c>
      <c r="J35" s="111" t="str">
        <f>CONCATENATE(Данные!D24,"/",Данные!E24)</f>
        <v>/</v>
      </c>
      <c r="K35" s="151" t="s">
        <v>43</v>
      </c>
      <c r="L35" s="151" t="s">
        <v>43</v>
      </c>
      <c r="M35" s="152" t="s">
        <v>43</v>
      </c>
      <c r="N35" s="153" t="s">
        <v>43</v>
      </c>
      <c r="O35" s="154" t="s">
        <v>145</v>
      </c>
      <c r="P35" s="64">
        <f>Данные!K24</f>
        <v>0</v>
      </c>
      <c r="Q35" s="154">
        <f>Данные!H24</f>
        <v>0</v>
      </c>
      <c r="R35" s="154"/>
      <c r="S35" s="65"/>
      <c r="T35" s="65"/>
      <c r="U35" s="154">
        <f t="shared" si="1"/>
        <v>0</v>
      </c>
      <c r="V35" s="154"/>
      <c r="W35" s="65"/>
      <c r="X35" s="80"/>
    </row>
    <row r="36" spans="1:24" ht="15" customHeight="1" x14ac:dyDescent="0.25">
      <c r="A36" s="31">
        <v>24</v>
      </c>
      <c r="B36" s="172" t="str">
        <f>IF(Данные!D25="","26","01")</f>
        <v>26</v>
      </c>
      <c r="C36" s="63" t="str">
        <f>CONCATENATE("№",Данные!F25,";", TEXT(Данные!G25,"ДД.ММ.ГГГГ"))</f>
        <v>№;00.01.1900</v>
      </c>
      <c r="D36" s="115" t="s">
        <v>145</v>
      </c>
      <c r="E36" s="115" t="s">
        <v>140</v>
      </c>
      <c r="F36" s="115" t="s">
        <v>43</v>
      </c>
      <c r="G36" s="115" t="s">
        <v>43</v>
      </c>
      <c r="H36" s="115" t="s">
        <v>145</v>
      </c>
      <c r="I36" s="63">
        <f>Данные!A25</f>
        <v>0</v>
      </c>
      <c r="J36" s="111" t="str">
        <f>CONCATENATE(Данные!D25,"/",Данные!E25)</f>
        <v>/</v>
      </c>
      <c r="K36" s="151" t="s">
        <v>43</v>
      </c>
      <c r="L36" s="151" t="s">
        <v>43</v>
      </c>
      <c r="M36" s="152" t="s">
        <v>43</v>
      </c>
      <c r="N36" s="153" t="s">
        <v>43</v>
      </c>
      <c r="O36" s="154" t="s">
        <v>145</v>
      </c>
      <c r="P36" s="64">
        <f>Данные!K25</f>
        <v>0</v>
      </c>
      <c r="Q36" s="154">
        <f>Данные!H25</f>
        <v>0</v>
      </c>
      <c r="R36" s="154"/>
      <c r="S36" s="65"/>
      <c r="T36" s="65"/>
      <c r="U36" s="154">
        <f t="shared" si="1"/>
        <v>0</v>
      </c>
      <c r="V36" s="154"/>
      <c r="W36" s="65"/>
      <c r="X36" s="80"/>
    </row>
    <row r="37" spans="1:24" ht="15" customHeight="1" x14ac:dyDescent="0.25">
      <c r="A37" s="31">
        <v>25</v>
      </c>
      <c r="B37" s="172" t="str">
        <f>IF(Данные!D26="","26","01")</f>
        <v>26</v>
      </c>
      <c r="C37" s="63" t="str">
        <f>CONCATENATE("№",Данные!F26,";", TEXT(Данные!G26,"ДД.ММ.ГГГГ"))</f>
        <v>№;00.01.1900</v>
      </c>
      <c r="D37" s="115" t="s">
        <v>145</v>
      </c>
      <c r="E37" s="115" t="s">
        <v>140</v>
      </c>
      <c r="F37" s="115" t="s">
        <v>43</v>
      </c>
      <c r="G37" s="115" t="s">
        <v>43</v>
      </c>
      <c r="H37" s="115" t="s">
        <v>145</v>
      </c>
      <c r="I37" s="63">
        <f>Данные!A26</f>
        <v>0</v>
      </c>
      <c r="J37" s="111" t="str">
        <f>CONCATENATE(Данные!D26,"/",Данные!E26)</f>
        <v>/</v>
      </c>
      <c r="K37" s="151" t="s">
        <v>43</v>
      </c>
      <c r="L37" s="151" t="s">
        <v>43</v>
      </c>
      <c r="M37" s="152" t="s">
        <v>43</v>
      </c>
      <c r="N37" s="153" t="s">
        <v>43</v>
      </c>
      <c r="O37" s="154" t="s">
        <v>145</v>
      </c>
      <c r="P37" s="64">
        <f>Данные!K26</f>
        <v>0</v>
      </c>
      <c r="Q37" s="154">
        <f>Данные!H26</f>
        <v>0</v>
      </c>
      <c r="R37" s="154"/>
      <c r="S37" s="65"/>
      <c r="T37" s="65"/>
      <c r="U37" s="154">
        <f t="shared" si="1"/>
        <v>0</v>
      </c>
      <c r="V37" s="154"/>
      <c r="W37" s="65"/>
      <c r="X37" s="80"/>
    </row>
    <row r="38" spans="1:24" ht="15" customHeight="1" x14ac:dyDescent="0.25">
      <c r="A38" s="31">
        <v>26</v>
      </c>
      <c r="B38" s="172" t="str">
        <f>IF(Данные!D27="","26","01")</f>
        <v>26</v>
      </c>
      <c r="C38" s="63" t="str">
        <f>CONCATENATE("№",Данные!F27,";", TEXT(Данные!G27,"ДД.ММ.ГГГГ"))</f>
        <v>№;00.01.1900</v>
      </c>
      <c r="D38" s="115" t="s">
        <v>145</v>
      </c>
      <c r="E38" s="115" t="s">
        <v>140</v>
      </c>
      <c r="F38" s="115" t="s">
        <v>43</v>
      </c>
      <c r="G38" s="115" t="s">
        <v>43</v>
      </c>
      <c r="H38" s="115" t="s">
        <v>145</v>
      </c>
      <c r="I38" s="63">
        <f>Данные!A27</f>
        <v>0</v>
      </c>
      <c r="J38" s="111" t="str">
        <f>CONCATENATE(Данные!D27,"/",Данные!E27)</f>
        <v>/</v>
      </c>
      <c r="K38" s="151" t="s">
        <v>43</v>
      </c>
      <c r="L38" s="151" t="s">
        <v>43</v>
      </c>
      <c r="M38" s="152" t="s">
        <v>43</v>
      </c>
      <c r="N38" s="153" t="s">
        <v>43</v>
      </c>
      <c r="O38" s="154" t="s">
        <v>145</v>
      </c>
      <c r="P38" s="64">
        <f>Данные!K27</f>
        <v>0</v>
      </c>
      <c r="Q38" s="154">
        <f>Данные!H27</f>
        <v>0</v>
      </c>
      <c r="R38" s="154"/>
      <c r="S38" s="65"/>
      <c r="T38" s="65"/>
      <c r="U38" s="154">
        <f t="shared" si="1"/>
        <v>0</v>
      </c>
      <c r="V38" s="154"/>
      <c r="W38" s="65"/>
      <c r="X38" s="80"/>
    </row>
    <row r="39" spans="1:24" ht="15" customHeight="1" x14ac:dyDescent="0.25">
      <c r="A39" s="31">
        <v>27</v>
      </c>
      <c r="B39" s="172" t="str">
        <f>IF(Данные!D28="","26","01")</f>
        <v>26</v>
      </c>
      <c r="C39" s="63" t="str">
        <f>CONCATENATE("№",Данные!F28,";", TEXT(Данные!G28,"ДД.ММ.ГГГГ"))</f>
        <v>№;00.01.1900</v>
      </c>
      <c r="D39" s="115" t="s">
        <v>145</v>
      </c>
      <c r="E39" s="115" t="s">
        <v>140</v>
      </c>
      <c r="F39" s="115" t="s">
        <v>43</v>
      </c>
      <c r="G39" s="115" t="s">
        <v>43</v>
      </c>
      <c r="H39" s="115" t="s">
        <v>145</v>
      </c>
      <c r="I39" s="63">
        <f>Данные!A28</f>
        <v>0</v>
      </c>
      <c r="J39" s="111" t="str">
        <f>CONCATENATE(Данные!D28,"/",Данные!E28)</f>
        <v>/</v>
      </c>
      <c r="K39" s="151" t="s">
        <v>43</v>
      </c>
      <c r="L39" s="151" t="s">
        <v>43</v>
      </c>
      <c r="M39" s="152" t="s">
        <v>43</v>
      </c>
      <c r="N39" s="153" t="s">
        <v>43</v>
      </c>
      <c r="O39" s="154" t="s">
        <v>145</v>
      </c>
      <c r="P39" s="64">
        <f>Данные!K28</f>
        <v>0</v>
      </c>
      <c r="Q39" s="154">
        <f>Данные!H28</f>
        <v>0</v>
      </c>
      <c r="R39" s="154"/>
      <c r="S39" s="65"/>
      <c r="T39" s="65"/>
      <c r="U39" s="154">
        <f t="shared" si="1"/>
        <v>0</v>
      </c>
      <c r="V39" s="154"/>
      <c r="W39" s="65"/>
      <c r="X39" s="80"/>
    </row>
    <row r="40" spans="1:24" ht="15" customHeight="1" x14ac:dyDescent="0.25">
      <c r="A40" s="31">
        <v>28</v>
      </c>
      <c r="B40" s="172" t="str">
        <f>IF(Данные!D29="","26","01")</f>
        <v>26</v>
      </c>
      <c r="C40" s="63" t="str">
        <f>CONCATENATE("№",Данные!F29,";", TEXT(Данные!G29,"ДД.ММ.ГГГГ"))</f>
        <v>№;00.01.1900</v>
      </c>
      <c r="D40" s="115" t="s">
        <v>145</v>
      </c>
      <c r="E40" s="115" t="s">
        <v>140</v>
      </c>
      <c r="F40" s="115" t="s">
        <v>43</v>
      </c>
      <c r="G40" s="115" t="s">
        <v>43</v>
      </c>
      <c r="H40" s="115" t="s">
        <v>145</v>
      </c>
      <c r="I40" s="63">
        <f>Данные!A29</f>
        <v>0</v>
      </c>
      <c r="J40" s="111" t="str">
        <f>CONCATENATE(Данные!D29,"/",Данные!E29)</f>
        <v>/</v>
      </c>
      <c r="K40" s="151" t="s">
        <v>43</v>
      </c>
      <c r="L40" s="151" t="s">
        <v>43</v>
      </c>
      <c r="M40" s="152" t="s">
        <v>43</v>
      </c>
      <c r="N40" s="153" t="s">
        <v>43</v>
      </c>
      <c r="O40" s="154" t="s">
        <v>145</v>
      </c>
      <c r="P40" s="64">
        <f>Данные!K29</f>
        <v>0</v>
      </c>
      <c r="Q40" s="154">
        <f>Данные!H29</f>
        <v>0</v>
      </c>
      <c r="R40" s="154"/>
      <c r="S40" s="65"/>
      <c r="T40" s="65"/>
      <c r="U40" s="154">
        <f t="shared" si="1"/>
        <v>0</v>
      </c>
      <c r="V40" s="154"/>
      <c r="W40" s="65"/>
      <c r="X40" s="80"/>
    </row>
    <row r="41" spans="1:24" ht="15" customHeight="1" x14ac:dyDescent="0.25">
      <c r="A41" s="31">
        <v>29</v>
      </c>
      <c r="B41" s="172" t="str">
        <f>IF(Данные!D30="","26","01")</f>
        <v>26</v>
      </c>
      <c r="C41" s="63" t="str">
        <f>CONCATENATE("№",Данные!F30,";", TEXT(Данные!G30,"ДД.ММ.ГГГГ"))</f>
        <v>№;00.01.1900</v>
      </c>
      <c r="D41" s="115" t="s">
        <v>145</v>
      </c>
      <c r="E41" s="115" t="s">
        <v>140</v>
      </c>
      <c r="F41" s="115" t="s">
        <v>43</v>
      </c>
      <c r="G41" s="115" t="s">
        <v>43</v>
      </c>
      <c r="H41" s="115" t="s">
        <v>145</v>
      </c>
      <c r="I41" s="63">
        <f>Данные!A30</f>
        <v>0</v>
      </c>
      <c r="J41" s="111" t="str">
        <f>CONCATENATE(Данные!D30,"/",Данные!E30)</f>
        <v>/</v>
      </c>
      <c r="K41" s="151" t="s">
        <v>43</v>
      </c>
      <c r="L41" s="151" t="s">
        <v>43</v>
      </c>
      <c r="M41" s="152" t="s">
        <v>43</v>
      </c>
      <c r="N41" s="153" t="s">
        <v>43</v>
      </c>
      <c r="O41" s="154" t="s">
        <v>145</v>
      </c>
      <c r="P41" s="64">
        <f>Данные!K30</f>
        <v>0</v>
      </c>
      <c r="Q41" s="154">
        <f>Данные!H30</f>
        <v>0</v>
      </c>
      <c r="R41" s="154"/>
      <c r="S41" s="65"/>
      <c r="T41" s="65"/>
      <c r="U41" s="154">
        <f t="shared" si="1"/>
        <v>0</v>
      </c>
      <c r="V41" s="154"/>
      <c r="W41" s="65"/>
      <c r="X41" s="80"/>
    </row>
    <row r="42" spans="1:24" ht="15" customHeight="1" x14ac:dyDescent="0.25">
      <c r="A42" s="31">
        <v>30</v>
      </c>
      <c r="B42" s="172" t="str">
        <f>IF(Данные!D31="","26","01")</f>
        <v>26</v>
      </c>
      <c r="C42" s="63" t="str">
        <f>CONCATENATE("№",Данные!F31,";", TEXT(Данные!G31,"ДД.ММ.ГГГГ"))</f>
        <v>№;00.01.1900</v>
      </c>
      <c r="D42" s="115" t="s">
        <v>145</v>
      </c>
      <c r="E42" s="115" t="s">
        <v>140</v>
      </c>
      <c r="F42" s="115" t="s">
        <v>43</v>
      </c>
      <c r="G42" s="115" t="s">
        <v>43</v>
      </c>
      <c r="H42" s="115" t="s">
        <v>145</v>
      </c>
      <c r="I42" s="63">
        <f>Данные!A31</f>
        <v>0</v>
      </c>
      <c r="J42" s="111" t="str">
        <f>CONCATENATE(Данные!D31,"/",Данные!E31)</f>
        <v>/</v>
      </c>
      <c r="K42" s="151" t="s">
        <v>43</v>
      </c>
      <c r="L42" s="151" t="s">
        <v>43</v>
      </c>
      <c r="M42" s="152" t="s">
        <v>43</v>
      </c>
      <c r="N42" s="153" t="s">
        <v>43</v>
      </c>
      <c r="O42" s="154" t="s">
        <v>145</v>
      </c>
      <c r="P42" s="64">
        <f>Данные!K31</f>
        <v>0</v>
      </c>
      <c r="Q42" s="154">
        <f>Данные!H31</f>
        <v>0</v>
      </c>
      <c r="R42" s="154"/>
      <c r="S42" s="65"/>
      <c r="T42" s="65"/>
      <c r="U42" s="154">
        <f t="shared" si="1"/>
        <v>0</v>
      </c>
      <c r="V42" s="154"/>
      <c r="W42" s="65"/>
      <c r="X42" s="80"/>
    </row>
    <row r="43" spans="1:24" ht="15" customHeight="1" x14ac:dyDescent="0.25">
      <c r="A43" s="31">
        <v>31</v>
      </c>
      <c r="B43" s="172" t="str">
        <f>IF(Данные!D32="","26","01")</f>
        <v>26</v>
      </c>
      <c r="C43" s="63" t="str">
        <f>CONCATENATE("№",Данные!F32,";", TEXT(Данные!G32,"ДД.ММ.ГГГГ"))</f>
        <v>№;00.01.1900</v>
      </c>
      <c r="D43" s="115" t="s">
        <v>145</v>
      </c>
      <c r="E43" s="115" t="s">
        <v>140</v>
      </c>
      <c r="F43" s="115" t="s">
        <v>43</v>
      </c>
      <c r="G43" s="115" t="s">
        <v>43</v>
      </c>
      <c r="H43" s="115" t="s">
        <v>145</v>
      </c>
      <c r="I43" s="63">
        <f>Данные!A32</f>
        <v>0</v>
      </c>
      <c r="J43" s="111" t="str">
        <f>CONCATENATE(Данные!D32,"/",Данные!E32)</f>
        <v>/</v>
      </c>
      <c r="K43" s="151" t="s">
        <v>43</v>
      </c>
      <c r="L43" s="151" t="s">
        <v>43</v>
      </c>
      <c r="M43" s="152" t="s">
        <v>43</v>
      </c>
      <c r="N43" s="153" t="s">
        <v>43</v>
      </c>
      <c r="O43" s="154" t="s">
        <v>145</v>
      </c>
      <c r="P43" s="64">
        <f>Данные!K32</f>
        <v>0</v>
      </c>
      <c r="Q43" s="154">
        <f>Данные!H32</f>
        <v>0</v>
      </c>
      <c r="R43" s="154"/>
      <c r="S43" s="65"/>
      <c r="T43" s="65"/>
      <c r="U43" s="154">
        <f t="shared" si="1"/>
        <v>0</v>
      </c>
      <c r="V43" s="154"/>
      <c r="W43" s="65"/>
      <c r="X43" s="80"/>
    </row>
    <row r="44" spans="1:24" ht="15" customHeight="1" x14ac:dyDescent="0.25">
      <c r="A44" s="31">
        <v>32</v>
      </c>
      <c r="B44" s="172" t="str">
        <f>IF(Данные!D33="","26","01")</f>
        <v>26</v>
      </c>
      <c r="C44" s="63" t="str">
        <f>CONCATENATE("№",Данные!F33,";", TEXT(Данные!G33,"ДД.ММ.ГГГГ"))</f>
        <v>№;00.01.1900</v>
      </c>
      <c r="D44" s="115" t="s">
        <v>145</v>
      </c>
      <c r="E44" s="115" t="s">
        <v>140</v>
      </c>
      <c r="F44" s="115" t="s">
        <v>43</v>
      </c>
      <c r="G44" s="115" t="s">
        <v>43</v>
      </c>
      <c r="H44" s="115" t="s">
        <v>145</v>
      </c>
      <c r="I44" s="63">
        <f>Данные!A33</f>
        <v>0</v>
      </c>
      <c r="J44" s="111" t="str">
        <f>CONCATENATE(Данные!D33,"/",Данные!E33)</f>
        <v>/</v>
      </c>
      <c r="K44" s="151" t="s">
        <v>43</v>
      </c>
      <c r="L44" s="151" t="s">
        <v>43</v>
      </c>
      <c r="M44" s="152" t="s">
        <v>43</v>
      </c>
      <c r="N44" s="153" t="s">
        <v>43</v>
      </c>
      <c r="O44" s="154" t="s">
        <v>145</v>
      </c>
      <c r="P44" s="64">
        <f>Данные!K33</f>
        <v>0</v>
      </c>
      <c r="Q44" s="154">
        <f>Данные!H33</f>
        <v>0</v>
      </c>
      <c r="R44" s="154"/>
      <c r="S44" s="65"/>
      <c r="T44" s="65"/>
      <c r="U44" s="154">
        <f t="shared" si="1"/>
        <v>0</v>
      </c>
      <c r="V44" s="154"/>
      <c r="W44" s="65"/>
      <c r="X44" s="80"/>
    </row>
    <row r="45" spans="1:24" ht="15" customHeight="1" x14ac:dyDescent="0.25">
      <c r="A45" s="31">
        <v>33</v>
      </c>
      <c r="B45" s="172" t="str">
        <f>IF(Данные!D34="","26","01")</f>
        <v>26</v>
      </c>
      <c r="C45" s="63" t="str">
        <f>CONCATENATE("№",Данные!F34,";", TEXT(Данные!G34,"ДД.ММ.ГГГГ"))</f>
        <v>№;00.01.1900</v>
      </c>
      <c r="D45" s="115" t="s">
        <v>145</v>
      </c>
      <c r="E45" s="115" t="s">
        <v>140</v>
      </c>
      <c r="F45" s="115" t="s">
        <v>43</v>
      </c>
      <c r="G45" s="115" t="s">
        <v>43</v>
      </c>
      <c r="H45" s="115" t="s">
        <v>145</v>
      </c>
      <c r="I45" s="63">
        <f>Данные!A34</f>
        <v>0</v>
      </c>
      <c r="J45" s="111" t="str">
        <f>CONCATENATE(Данные!D34,"/",Данные!E34)</f>
        <v>/</v>
      </c>
      <c r="K45" s="151" t="s">
        <v>43</v>
      </c>
      <c r="L45" s="151" t="s">
        <v>43</v>
      </c>
      <c r="M45" s="152" t="s">
        <v>43</v>
      </c>
      <c r="N45" s="153" t="s">
        <v>43</v>
      </c>
      <c r="O45" s="154" t="s">
        <v>145</v>
      </c>
      <c r="P45" s="64">
        <f>Данные!K34</f>
        <v>0</v>
      </c>
      <c r="Q45" s="154">
        <f>Данные!H34</f>
        <v>0</v>
      </c>
      <c r="R45" s="154"/>
      <c r="S45" s="65"/>
      <c r="T45" s="65"/>
      <c r="U45" s="154">
        <f t="shared" si="1"/>
        <v>0</v>
      </c>
      <c r="V45" s="154"/>
      <c r="W45" s="65"/>
      <c r="X45" s="80"/>
    </row>
    <row r="46" spans="1:24" ht="15" customHeight="1" x14ac:dyDescent="0.25">
      <c r="A46" s="31">
        <v>34</v>
      </c>
      <c r="B46" s="172" t="str">
        <f>IF(Данные!D35="","26","01")</f>
        <v>26</v>
      </c>
      <c r="C46" s="63" t="str">
        <f>CONCATENATE("№",Данные!F35,";", TEXT(Данные!G35,"ДД.ММ.ГГГГ"))</f>
        <v>№;00.01.1900</v>
      </c>
      <c r="D46" s="115" t="s">
        <v>145</v>
      </c>
      <c r="E46" s="115" t="s">
        <v>140</v>
      </c>
      <c r="F46" s="115" t="s">
        <v>43</v>
      </c>
      <c r="G46" s="115" t="s">
        <v>43</v>
      </c>
      <c r="H46" s="115" t="s">
        <v>145</v>
      </c>
      <c r="I46" s="63">
        <f>Данные!A35</f>
        <v>0</v>
      </c>
      <c r="J46" s="111" t="str">
        <f>CONCATENATE(Данные!D35,"/",Данные!E35)</f>
        <v>/</v>
      </c>
      <c r="K46" s="151" t="s">
        <v>43</v>
      </c>
      <c r="L46" s="151" t="s">
        <v>43</v>
      </c>
      <c r="M46" s="152" t="s">
        <v>43</v>
      </c>
      <c r="N46" s="153" t="s">
        <v>43</v>
      </c>
      <c r="O46" s="154" t="s">
        <v>145</v>
      </c>
      <c r="P46" s="64">
        <f>Данные!K35</f>
        <v>0</v>
      </c>
      <c r="Q46" s="154">
        <f>Данные!H35</f>
        <v>0</v>
      </c>
      <c r="R46" s="154"/>
      <c r="S46" s="65"/>
      <c r="T46" s="65"/>
      <c r="U46" s="154">
        <f t="shared" si="1"/>
        <v>0</v>
      </c>
      <c r="V46" s="154"/>
      <c r="W46" s="65"/>
      <c r="X46" s="80"/>
    </row>
    <row r="47" spans="1:24" ht="15" customHeight="1" x14ac:dyDescent="0.25">
      <c r="A47" s="31">
        <v>35</v>
      </c>
      <c r="B47" s="172" t="str">
        <f>IF(Данные!D36="","26","01")</f>
        <v>26</v>
      </c>
      <c r="C47" s="63" t="str">
        <f>CONCATENATE("№",Данные!F36,";", TEXT(Данные!G36,"ДД.ММ.ГГГГ"))</f>
        <v>№;00.01.1900</v>
      </c>
      <c r="D47" s="115" t="s">
        <v>145</v>
      </c>
      <c r="E47" s="115" t="s">
        <v>140</v>
      </c>
      <c r="F47" s="115" t="s">
        <v>43</v>
      </c>
      <c r="G47" s="115" t="s">
        <v>43</v>
      </c>
      <c r="H47" s="115" t="s">
        <v>145</v>
      </c>
      <c r="I47" s="63">
        <f>Данные!A36</f>
        <v>0</v>
      </c>
      <c r="J47" s="111" t="str">
        <f>CONCATENATE(Данные!D36,"/",Данные!E36)</f>
        <v>/</v>
      </c>
      <c r="K47" s="151" t="s">
        <v>43</v>
      </c>
      <c r="L47" s="151" t="s">
        <v>43</v>
      </c>
      <c r="M47" s="152" t="s">
        <v>43</v>
      </c>
      <c r="N47" s="153" t="s">
        <v>43</v>
      </c>
      <c r="O47" s="154" t="s">
        <v>145</v>
      </c>
      <c r="P47" s="64">
        <f>Данные!K36</f>
        <v>0</v>
      </c>
      <c r="Q47" s="154">
        <f>Данные!H36</f>
        <v>0</v>
      </c>
      <c r="R47" s="154"/>
      <c r="S47" s="65"/>
      <c r="T47" s="65"/>
      <c r="U47" s="154">
        <f t="shared" si="1"/>
        <v>0</v>
      </c>
      <c r="V47" s="154"/>
      <c r="W47" s="65"/>
      <c r="X47" s="80"/>
    </row>
    <row r="48" spans="1:24" ht="15" customHeight="1" x14ac:dyDescent="0.25">
      <c r="A48" s="31">
        <v>36</v>
      </c>
      <c r="B48" s="172" t="str">
        <f>IF(Данные!D37="","26","01")</f>
        <v>26</v>
      </c>
      <c r="C48" s="63" t="str">
        <f>CONCATENATE("№",Данные!F37,";", TEXT(Данные!G37,"ДД.ММ.ГГГГ"))</f>
        <v>№;00.01.1900</v>
      </c>
      <c r="D48" s="115" t="s">
        <v>145</v>
      </c>
      <c r="E48" s="115" t="s">
        <v>140</v>
      </c>
      <c r="F48" s="115" t="s">
        <v>43</v>
      </c>
      <c r="G48" s="115" t="s">
        <v>43</v>
      </c>
      <c r="H48" s="115" t="s">
        <v>145</v>
      </c>
      <c r="I48" s="63">
        <f>Данные!A37</f>
        <v>0</v>
      </c>
      <c r="J48" s="111" t="str">
        <f>CONCATENATE(Данные!D37,"/",Данные!E37)</f>
        <v>/</v>
      </c>
      <c r="K48" s="151" t="s">
        <v>43</v>
      </c>
      <c r="L48" s="151" t="s">
        <v>43</v>
      </c>
      <c r="M48" s="152" t="s">
        <v>43</v>
      </c>
      <c r="N48" s="153" t="s">
        <v>43</v>
      </c>
      <c r="O48" s="154" t="s">
        <v>145</v>
      </c>
      <c r="P48" s="64">
        <f>Данные!K37</f>
        <v>0</v>
      </c>
      <c r="Q48" s="154">
        <f>Данные!H37</f>
        <v>0</v>
      </c>
      <c r="R48" s="154"/>
      <c r="S48" s="65"/>
      <c r="T48" s="65"/>
      <c r="U48" s="154">
        <f t="shared" si="1"/>
        <v>0</v>
      </c>
      <c r="V48" s="154"/>
      <c r="W48" s="65"/>
      <c r="X48" s="80"/>
    </row>
    <row r="49" spans="1:24" ht="15" customHeight="1" x14ac:dyDescent="0.25">
      <c r="A49" s="31">
        <v>37</v>
      </c>
      <c r="B49" s="172" t="str">
        <f>IF(Данные!D38="","26","01")</f>
        <v>26</v>
      </c>
      <c r="C49" s="63" t="str">
        <f>CONCATENATE("№",Данные!F38,";", TEXT(Данные!G38,"ДД.ММ.ГГГГ"))</f>
        <v>№;00.01.1900</v>
      </c>
      <c r="D49" s="115" t="s">
        <v>145</v>
      </c>
      <c r="E49" s="115" t="s">
        <v>140</v>
      </c>
      <c r="F49" s="115" t="s">
        <v>43</v>
      </c>
      <c r="G49" s="115" t="s">
        <v>43</v>
      </c>
      <c r="H49" s="115" t="s">
        <v>145</v>
      </c>
      <c r="I49" s="63">
        <f>Данные!A38</f>
        <v>0</v>
      </c>
      <c r="J49" s="111" t="str">
        <f>CONCATENATE(Данные!D38,"/",Данные!E38)</f>
        <v>/</v>
      </c>
      <c r="K49" s="151" t="s">
        <v>43</v>
      </c>
      <c r="L49" s="151" t="s">
        <v>43</v>
      </c>
      <c r="M49" s="152" t="s">
        <v>43</v>
      </c>
      <c r="N49" s="153" t="s">
        <v>43</v>
      </c>
      <c r="O49" s="154" t="s">
        <v>145</v>
      </c>
      <c r="P49" s="64">
        <f>Данные!K38</f>
        <v>0</v>
      </c>
      <c r="Q49" s="154">
        <f>Данные!H38</f>
        <v>0</v>
      </c>
      <c r="R49" s="154"/>
      <c r="S49" s="65"/>
      <c r="T49" s="65"/>
      <c r="U49" s="154">
        <f t="shared" si="1"/>
        <v>0</v>
      </c>
      <c r="V49" s="154"/>
      <c r="W49" s="65"/>
      <c r="X49" s="80"/>
    </row>
    <row r="50" spans="1:24" ht="15" customHeight="1" x14ac:dyDescent="0.25">
      <c r="A50" s="31">
        <v>38</v>
      </c>
      <c r="B50" s="172" t="str">
        <f>IF(Данные!D39="","26","01")</f>
        <v>26</v>
      </c>
      <c r="C50" s="63" t="str">
        <f>CONCATENATE("№",Данные!F39,";", TEXT(Данные!G39,"ДД.ММ.ГГГГ"))</f>
        <v>№;00.01.1900</v>
      </c>
      <c r="D50" s="115" t="s">
        <v>145</v>
      </c>
      <c r="E50" s="115" t="s">
        <v>140</v>
      </c>
      <c r="F50" s="115" t="s">
        <v>43</v>
      </c>
      <c r="G50" s="115" t="s">
        <v>43</v>
      </c>
      <c r="H50" s="115" t="s">
        <v>145</v>
      </c>
      <c r="I50" s="63">
        <f>Данные!A39</f>
        <v>0</v>
      </c>
      <c r="J50" s="111" t="str">
        <f>CONCATENATE(Данные!D39,"/",Данные!E39)</f>
        <v>/</v>
      </c>
      <c r="K50" s="151" t="s">
        <v>43</v>
      </c>
      <c r="L50" s="151" t="s">
        <v>43</v>
      </c>
      <c r="M50" s="152" t="s">
        <v>43</v>
      </c>
      <c r="N50" s="153" t="s">
        <v>43</v>
      </c>
      <c r="O50" s="154" t="s">
        <v>145</v>
      </c>
      <c r="P50" s="64">
        <f>Данные!K39</f>
        <v>0</v>
      </c>
      <c r="Q50" s="154">
        <f>Данные!H39</f>
        <v>0</v>
      </c>
      <c r="R50" s="154"/>
      <c r="S50" s="65"/>
      <c r="T50" s="65"/>
      <c r="U50" s="154">
        <f t="shared" si="1"/>
        <v>0</v>
      </c>
      <c r="V50" s="154"/>
      <c r="W50" s="65"/>
      <c r="X50" s="80"/>
    </row>
    <row r="51" spans="1:24" ht="15" customHeight="1" x14ac:dyDescent="0.25">
      <c r="A51" s="31">
        <v>39</v>
      </c>
      <c r="B51" s="172" t="str">
        <f>IF(Данные!D40="","26","01")</f>
        <v>26</v>
      </c>
      <c r="C51" s="63" t="str">
        <f>CONCATENATE("№",Данные!F40,";", TEXT(Данные!G40,"ДД.ММ.ГГГГ"))</f>
        <v>№;00.01.1900</v>
      </c>
      <c r="D51" s="115" t="s">
        <v>145</v>
      </c>
      <c r="E51" s="115" t="s">
        <v>140</v>
      </c>
      <c r="F51" s="115" t="s">
        <v>43</v>
      </c>
      <c r="G51" s="115" t="s">
        <v>43</v>
      </c>
      <c r="H51" s="115" t="s">
        <v>145</v>
      </c>
      <c r="I51" s="63">
        <f>Данные!A40</f>
        <v>0</v>
      </c>
      <c r="J51" s="111" t="str">
        <f>CONCATENATE(Данные!D40,"/",Данные!E40)</f>
        <v>/</v>
      </c>
      <c r="K51" s="151" t="s">
        <v>43</v>
      </c>
      <c r="L51" s="151" t="s">
        <v>43</v>
      </c>
      <c r="M51" s="152" t="s">
        <v>43</v>
      </c>
      <c r="N51" s="153" t="s">
        <v>43</v>
      </c>
      <c r="O51" s="154" t="s">
        <v>145</v>
      </c>
      <c r="P51" s="64">
        <f>Данные!K40</f>
        <v>0</v>
      </c>
      <c r="Q51" s="154">
        <f>Данные!H40</f>
        <v>0</v>
      </c>
      <c r="R51" s="154"/>
      <c r="S51" s="65"/>
      <c r="T51" s="65"/>
      <c r="U51" s="154">
        <f t="shared" si="1"/>
        <v>0</v>
      </c>
      <c r="V51" s="154"/>
      <c r="W51" s="65"/>
      <c r="X51" s="80"/>
    </row>
    <row r="52" spans="1:24" ht="15" customHeight="1" x14ac:dyDescent="0.25">
      <c r="A52" s="31">
        <v>40</v>
      </c>
      <c r="B52" s="172" t="str">
        <f>IF(Данные!D41="","26","01")</f>
        <v>26</v>
      </c>
      <c r="C52" s="63" t="str">
        <f>CONCATENATE("№",Данные!F41,";", TEXT(Данные!G41,"ДД.ММ.ГГГГ"))</f>
        <v>№;00.01.1900</v>
      </c>
      <c r="D52" s="115" t="s">
        <v>145</v>
      </c>
      <c r="E52" s="115" t="s">
        <v>140</v>
      </c>
      <c r="F52" s="115" t="s">
        <v>43</v>
      </c>
      <c r="G52" s="115" t="s">
        <v>43</v>
      </c>
      <c r="H52" s="115" t="s">
        <v>145</v>
      </c>
      <c r="I52" s="63">
        <f>Данные!A41</f>
        <v>0</v>
      </c>
      <c r="J52" s="111" t="str">
        <f>CONCATENATE(Данные!D41,"/",Данные!E41)</f>
        <v>/</v>
      </c>
      <c r="K52" s="151" t="s">
        <v>43</v>
      </c>
      <c r="L52" s="151" t="s">
        <v>43</v>
      </c>
      <c r="M52" s="152" t="s">
        <v>43</v>
      </c>
      <c r="N52" s="153" t="s">
        <v>43</v>
      </c>
      <c r="O52" s="154" t="s">
        <v>145</v>
      </c>
      <c r="P52" s="64">
        <f>Данные!K41</f>
        <v>0</v>
      </c>
      <c r="Q52" s="154">
        <f>Данные!H41</f>
        <v>0</v>
      </c>
      <c r="R52" s="154"/>
      <c r="S52" s="65"/>
      <c r="T52" s="65"/>
      <c r="U52" s="154">
        <f t="shared" si="1"/>
        <v>0</v>
      </c>
      <c r="V52" s="154"/>
      <c r="W52" s="65"/>
      <c r="X52" s="80"/>
    </row>
    <row r="53" spans="1:24" ht="15" customHeight="1" x14ac:dyDescent="0.25">
      <c r="A53" s="31">
        <v>41</v>
      </c>
      <c r="B53" s="172" t="str">
        <f>IF(Данные!D42="","26","01")</f>
        <v>26</v>
      </c>
      <c r="C53" s="63" t="str">
        <f>CONCATENATE("№",Данные!F42,";", TEXT(Данные!G42,"ДД.ММ.ГГГГ"))</f>
        <v>№;00.01.1900</v>
      </c>
      <c r="D53" s="115" t="s">
        <v>145</v>
      </c>
      <c r="E53" s="115" t="s">
        <v>140</v>
      </c>
      <c r="F53" s="115" t="s">
        <v>43</v>
      </c>
      <c r="G53" s="115" t="s">
        <v>43</v>
      </c>
      <c r="H53" s="115" t="s">
        <v>145</v>
      </c>
      <c r="I53" s="63">
        <f>Данные!A42</f>
        <v>0</v>
      </c>
      <c r="J53" s="111" t="str">
        <f>CONCATENATE(Данные!D42,"/",Данные!E42)</f>
        <v>/</v>
      </c>
      <c r="K53" s="151" t="s">
        <v>43</v>
      </c>
      <c r="L53" s="151" t="s">
        <v>43</v>
      </c>
      <c r="M53" s="152" t="s">
        <v>43</v>
      </c>
      <c r="N53" s="153" t="s">
        <v>43</v>
      </c>
      <c r="O53" s="154" t="s">
        <v>145</v>
      </c>
      <c r="P53" s="64">
        <f>Данные!K42</f>
        <v>0</v>
      </c>
      <c r="Q53" s="154">
        <f>Данные!H42</f>
        <v>0</v>
      </c>
      <c r="R53" s="154"/>
      <c r="S53" s="65"/>
      <c r="T53" s="65"/>
      <c r="U53" s="154">
        <f t="shared" si="1"/>
        <v>0</v>
      </c>
      <c r="V53" s="154"/>
      <c r="W53" s="65"/>
      <c r="X53" s="80"/>
    </row>
    <row r="54" spans="1:24" ht="15" customHeight="1" x14ac:dyDescent="0.25">
      <c r="A54" s="31">
        <v>42</v>
      </c>
      <c r="B54" s="172" t="str">
        <f>IF(Данные!D43="","26","01")</f>
        <v>26</v>
      </c>
      <c r="C54" s="63" t="str">
        <f>CONCATENATE("№",Данные!F43,";", TEXT(Данные!G43,"ДД.ММ.ГГГГ"))</f>
        <v>№;00.01.1900</v>
      </c>
      <c r="D54" s="115" t="s">
        <v>145</v>
      </c>
      <c r="E54" s="115" t="s">
        <v>140</v>
      </c>
      <c r="F54" s="115" t="s">
        <v>43</v>
      </c>
      <c r="G54" s="115" t="s">
        <v>43</v>
      </c>
      <c r="H54" s="115" t="s">
        <v>145</v>
      </c>
      <c r="I54" s="63">
        <f>Данные!A43</f>
        <v>0</v>
      </c>
      <c r="J54" s="111" t="str">
        <f>CONCATENATE(Данные!D43,"/",Данные!E43)</f>
        <v>/</v>
      </c>
      <c r="K54" s="151" t="s">
        <v>43</v>
      </c>
      <c r="L54" s="151" t="s">
        <v>43</v>
      </c>
      <c r="M54" s="152" t="s">
        <v>43</v>
      </c>
      <c r="N54" s="153" t="s">
        <v>43</v>
      </c>
      <c r="O54" s="154" t="s">
        <v>145</v>
      </c>
      <c r="P54" s="64">
        <f>Данные!K43</f>
        <v>0</v>
      </c>
      <c r="Q54" s="154">
        <f>Данные!H43</f>
        <v>0</v>
      </c>
      <c r="R54" s="154"/>
      <c r="S54" s="65"/>
      <c r="T54" s="65"/>
      <c r="U54" s="154">
        <f t="shared" si="1"/>
        <v>0</v>
      </c>
      <c r="V54" s="154"/>
      <c r="W54" s="65"/>
      <c r="X54" s="80"/>
    </row>
    <row r="55" spans="1:24" ht="15" customHeight="1" x14ac:dyDescent="0.25">
      <c r="A55" s="31">
        <v>43</v>
      </c>
      <c r="B55" s="172" t="str">
        <f>IF(Данные!D44="","26","01")</f>
        <v>26</v>
      </c>
      <c r="C55" s="63" t="str">
        <f>CONCATENATE("№",Данные!F44,";", TEXT(Данные!G44,"ДД.ММ.ГГГГ"))</f>
        <v>№;00.01.1900</v>
      </c>
      <c r="D55" s="115" t="s">
        <v>145</v>
      </c>
      <c r="E55" s="115" t="s">
        <v>140</v>
      </c>
      <c r="F55" s="115" t="s">
        <v>43</v>
      </c>
      <c r="G55" s="115" t="s">
        <v>43</v>
      </c>
      <c r="H55" s="115" t="s">
        <v>145</v>
      </c>
      <c r="I55" s="63">
        <f>Данные!A44</f>
        <v>0</v>
      </c>
      <c r="J55" s="111" t="str">
        <f>CONCATENATE(Данные!D44,"/",Данные!E44)</f>
        <v>/</v>
      </c>
      <c r="K55" s="151" t="s">
        <v>43</v>
      </c>
      <c r="L55" s="151" t="s">
        <v>43</v>
      </c>
      <c r="M55" s="152" t="s">
        <v>43</v>
      </c>
      <c r="N55" s="153" t="s">
        <v>43</v>
      </c>
      <c r="O55" s="154" t="s">
        <v>145</v>
      </c>
      <c r="P55" s="64">
        <f>Данные!K44</f>
        <v>0</v>
      </c>
      <c r="Q55" s="154">
        <f>Данные!H44</f>
        <v>0</v>
      </c>
      <c r="R55" s="154"/>
      <c r="S55" s="65"/>
      <c r="T55" s="65"/>
      <c r="U55" s="154">
        <f t="shared" si="1"/>
        <v>0</v>
      </c>
      <c r="V55" s="154"/>
      <c r="W55" s="65"/>
      <c r="X55" s="80"/>
    </row>
    <row r="56" spans="1:24" ht="15" customHeight="1" x14ac:dyDescent="0.25">
      <c r="A56" s="31">
        <v>44</v>
      </c>
      <c r="B56" s="172" t="str">
        <f>IF(Данные!D45="","26","01")</f>
        <v>26</v>
      </c>
      <c r="C56" s="63" t="str">
        <f>CONCATENATE("№",Данные!F45,";", TEXT(Данные!G45,"ДД.ММ.ГГГГ"))</f>
        <v>№;00.01.1900</v>
      </c>
      <c r="D56" s="115" t="s">
        <v>145</v>
      </c>
      <c r="E56" s="115" t="s">
        <v>140</v>
      </c>
      <c r="F56" s="115" t="s">
        <v>43</v>
      </c>
      <c r="G56" s="115" t="s">
        <v>43</v>
      </c>
      <c r="H56" s="115" t="s">
        <v>145</v>
      </c>
      <c r="I56" s="63">
        <f>Данные!A45</f>
        <v>0</v>
      </c>
      <c r="J56" s="111" t="str">
        <f>CONCATENATE(Данные!D45,"/",Данные!E45)</f>
        <v>/</v>
      </c>
      <c r="K56" s="151" t="s">
        <v>43</v>
      </c>
      <c r="L56" s="151" t="s">
        <v>43</v>
      </c>
      <c r="M56" s="152" t="s">
        <v>43</v>
      </c>
      <c r="N56" s="153" t="s">
        <v>43</v>
      </c>
      <c r="O56" s="154" t="s">
        <v>145</v>
      </c>
      <c r="P56" s="64">
        <f>Данные!K45</f>
        <v>0</v>
      </c>
      <c r="Q56" s="154">
        <f>Данные!H45</f>
        <v>0</v>
      </c>
      <c r="R56" s="154"/>
      <c r="S56" s="65"/>
      <c r="T56" s="65"/>
      <c r="U56" s="154">
        <f t="shared" si="1"/>
        <v>0</v>
      </c>
      <c r="V56" s="154"/>
      <c r="W56" s="65"/>
      <c r="X56" s="80"/>
    </row>
    <row r="57" spans="1:24" ht="15" customHeight="1" x14ac:dyDescent="0.25">
      <c r="A57" s="31">
        <v>45</v>
      </c>
      <c r="B57" s="172" t="str">
        <f>IF(Данные!D46="","26","01")</f>
        <v>26</v>
      </c>
      <c r="C57" s="63" t="str">
        <f>CONCATENATE("№",Данные!F46,";", TEXT(Данные!G46,"ДД.ММ.ГГГГ"))</f>
        <v>№;00.01.1900</v>
      </c>
      <c r="D57" s="115" t="s">
        <v>145</v>
      </c>
      <c r="E57" s="115" t="s">
        <v>140</v>
      </c>
      <c r="F57" s="115" t="s">
        <v>43</v>
      </c>
      <c r="G57" s="115" t="s">
        <v>43</v>
      </c>
      <c r="H57" s="115" t="s">
        <v>145</v>
      </c>
      <c r="I57" s="63">
        <f>Данные!A46</f>
        <v>0</v>
      </c>
      <c r="J57" s="111" t="str">
        <f>CONCATENATE(Данные!D46,"/",Данные!E46)</f>
        <v>/</v>
      </c>
      <c r="K57" s="151" t="s">
        <v>43</v>
      </c>
      <c r="L57" s="151" t="s">
        <v>43</v>
      </c>
      <c r="M57" s="152" t="s">
        <v>43</v>
      </c>
      <c r="N57" s="153" t="s">
        <v>43</v>
      </c>
      <c r="O57" s="154" t="s">
        <v>145</v>
      </c>
      <c r="P57" s="64">
        <f>Данные!K46</f>
        <v>0</v>
      </c>
      <c r="Q57" s="154">
        <f>Данные!H46</f>
        <v>0</v>
      </c>
      <c r="R57" s="154"/>
      <c r="S57" s="65"/>
      <c r="T57" s="65"/>
      <c r="U57" s="154">
        <f t="shared" si="1"/>
        <v>0</v>
      </c>
      <c r="V57" s="154"/>
      <c r="W57" s="65"/>
      <c r="X57" s="80"/>
    </row>
    <row r="58" spans="1:24" ht="15" customHeight="1" x14ac:dyDescent="0.25">
      <c r="A58" s="31">
        <v>46</v>
      </c>
      <c r="B58" s="172" t="str">
        <f>IF(Данные!D47="","26","01")</f>
        <v>26</v>
      </c>
      <c r="C58" s="63" t="str">
        <f>CONCATENATE("№",Данные!F47,";", TEXT(Данные!G47,"ДД.ММ.ГГГГ"))</f>
        <v>№;00.01.1900</v>
      </c>
      <c r="D58" s="115" t="s">
        <v>145</v>
      </c>
      <c r="E58" s="115" t="s">
        <v>140</v>
      </c>
      <c r="F58" s="115" t="s">
        <v>43</v>
      </c>
      <c r="G58" s="115" t="s">
        <v>43</v>
      </c>
      <c r="H58" s="115" t="s">
        <v>145</v>
      </c>
      <c r="I58" s="63">
        <f>Данные!A47</f>
        <v>0</v>
      </c>
      <c r="J58" s="111" t="str">
        <f>CONCATENATE(Данные!D47,"/",Данные!E47)</f>
        <v>/</v>
      </c>
      <c r="K58" s="151" t="s">
        <v>43</v>
      </c>
      <c r="L58" s="151" t="s">
        <v>43</v>
      </c>
      <c r="M58" s="152" t="s">
        <v>43</v>
      </c>
      <c r="N58" s="153" t="s">
        <v>43</v>
      </c>
      <c r="O58" s="154" t="s">
        <v>145</v>
      </c>
      <c r="P58" s="64">
        <f>Данные!K47</f>
        <v>0</v>
      </c>
      <c r="Q58" s="154">
        <f>Данные!H47</f>
        <v>0</v>
      </c>
      <c r="R58" s="154"/>
      <c r="S58" s="65"/>
      <c r="T58" s="65"/>
      <c r="U58" s="154">
        <f t="shared" si="1"/>
        <v>0</v>
      </c>
      <c r="V58" s="154"/>
      <c r="W58" s="65"/>
      <c r="X58" s="80"/>
    </row>
    <row r="59" spans="1:24" ht="15" customHeight="1" x14ac:dyDescent="0.25">
      <c r="A59" s="31">
        <v>47</v>
      </c>
      <c r="B59" s="172" t="str">
        <f>IF(Данные!D48="","26","01")</f>
        <v>26</v>
      </c>
      <c r="C59" s="63" t="str">
        <f>CONCATENATE("№",Данные!F48,";", TEXT(Данные!G48,"ДД.ММ.ГГГГ"))</f>
        <v>№;00.01.1900</v>
      </c>
      <c r="D59" s="115" t="s">
        <v>145</v>
      </c>
      <c r="E59" s="115" t="s">
        <v>140</v>
      </c>
      <c r="F59" s="115" t="s">
        <v>43</v>
      </c>
      <c r="G59" s="115" t="s">
        <v>43</v>
      </c>
      <c r="H59" s="115" t="s">
        <v>145</v>
      </c>
      <c r="I59" s="63">
        <f>Данные!A48</f>
        <v>0</v>
      </c>
      <c r="J59" s="111" t="str">
        <f>CONCATENATE(Данные!D48,"/",Данные!E48)</f>
        <v>/</v>
      </c>
      <c r="K59" s="151" t="s">
        <v>43</v>
      </c>
      <c r="L59" s="151" t="s">
        <v>43</v>
      </c>
      <c r="M59" s="152" t="s">
        <v>43</v>
      </c>
      <c r="N59" s="153" t="s">
        <v>43</v>
      </c>
      <c r="O59" s="154" t="s">
        <v>145</v>
      </c>
      <c r="P59" s="64">
        <f>Данные!K48</f>
        <v>0</v>
      </c>
      <c r="Q59" s="154">
        <f>Данные!H48</f>
        <v>0</v>
      </c>
      <c r="R59" s="154"/>
      <c r="S59" s="65"/>
      <c r="T59" s="65"/>
      <c r="U59" s="154">
        <f t="shared" si="1"/>
        <v>0</v>
      </c>
      <c r="V59" s="154"/>
      <c r="W59" s="65"/>
      <c r="X59" s="80"/>
    </row>
    <row r="60" spans="1:24" ht="15" customHeight="1" x14ac:dyDescent="0.25">
      <c r="A60" s="31">
        <v>48</v>
      </c>
      <c r="B60" s="172" t="str">
        <f>IF(Данные!D49="","26","01")</f>
        <v>26</v>
      </c>
      <c r="C60" s="63" t="str">
        <f>CONCATENATE("№",Данные!F49,";", TEXT(Данные!G49,"ДД.ММ.ГГГГ"))</f>
        <v>№;00.01.1900</v>
      </c>
      <c r="D60" s="115" t="s">
        <v>145</v>
      </c>
      <c r="E60" s="115" t="s">
        <v>140</v>
      </c>
      <c r="F60" s="115" t="s">
        <v>43</v>
      </c>
      <c r="G60" s="115" t="s">
        <v>43</v>
      </c>
      <c r="H60" s="115" t="s">
        <v>145</v>
      </c>
      <c r="I60" s="63">
        <f>Данные!A49</f>
        <v>0</v>
      </c>
      <c r="J60" s="111" t="str">
        <f>CONCATENATE(Данные!D49,"/",Данные!E49)</f>
        <v>/</v>
      </c>
      <c r="K60" s="151" t="s">
        <v>43</v>
      </c>
      <c r="L60" s="151" t="s">
        <v>43</v>
      </c>
      <c r="M60" s="152" t="s">
        <v>43</v>
      </c>
      <c r="N60" s="153" t="s">
        <v>43</v>
      </c>
      <c r="O60" s="154" t="s">
        <v>145</v>
      </c>
      <c r="P60" s="64">
        <f>Данные!K49</f>
        <v>0</v>
      </c>
      <c r="Q60" s="154">
        <f>Данные!H49</f>
        <v>0</v>
      </c>
      <c r="R60" s="154"/>
      <c r="S60" s="65"/>
      <c r="T60" s="65"/>
      <c r="U60" s="154">
        <f t="shared" si="1"/>
        <v>0</v>
      </c>
      <c r="V60" s="154"/>
      <c r="W60" s="65"/>
      <c r="X60" s="80"/>
    </row>
    <row r="61" spans="1:24" ht="15" customHeight="1" x14ac:dyDescent="0.25">
      <c r="A61" s="31">
        <v>49</v>
      </c>
      <c r="B61" s="172" t="str">
        <f>IF(Данные!D50="","26","01")</f>
        <v>26</v>
      </c>
      <c r="C61" s="63" t="str">
        <f>CONCATENATE("№",Данные!F50,";", TEXT(Данные!G50,"ДД.ММ.ГГГГ"))</f>
        <v>№;00.01.1900</v>
      </c>
      <c r="D61" s="115" t="s">
        <v>145</v>
      </c>
      <c r="E61" s="115" t="s">
        <v>140</v>
      </c>
      <c r="F61" s="115" t="s">
        <v>43</v>
      </c>
      <c r="G61" s="115" t="s">
        <v>43</v>
      </c>
      <c r="H61" s="115" t="s">
        <v>145</v>
      </c>
      <c r="I61" s="63">
        <f>Данные!A50</f>
        <v>0</v>
      </c>
      <c r="J61" s="111" t="str">
        <f>CONCATENATE(Данные!D50,"/",Данные!E50)</f>
        <v>/</v>
      </c>
      <c r="K61" s="151" t="s">
        <v>43</v>
      </c>
      <c r="L61" s="151" t="s">
        <v>43</v>
      </c>
      <c r="M61" s="152" t="s">
        <v>43</v>
      </c>
      <c r="N61" s="153" t="s">
        <v>43</v>
      </c>
      <c r="O61" s="154" t="s">
        <v>145</v>
      </c>
      <c r="P61" s="64">
        <f>Данные!K50</f>
        <v>0</v>
      </c>
      <c r="Q61" s="154">
        <f>Данные!H50</f>
        <v>0</v>
      </c>
      <c r="R61" s="154"/>
      <c r="S61" s="65"/>
      <c r="T61" s="65"/>
      <c r="U61" s="154">
        <f t="shared" si="1"/>
        <v>0</v>
      </c>
      <c r="V61" s="154"/>
      <c r="W61" s="65"/>
      <c r="X61" s="80"/>
    </row>
    <row r="62" spans="1:24" ht="15" customHeight="1" x14ac:dyDescent="0.25">
      <c r="A62" s="31">
        <v>50</v>
      </c>
      <c r="B62" s="172" t="str">
        <f>IF(Данные!D51="","26","01")</f>
        <v>26</v>
      </c>
      <c r="C62" s="63" t="str">
        <f>CONCATENATE("№",Данные!F51,";", TEXT(Данные!G51,"ДД.ММ.ГГГГ"))</f>
        <v>№;00.01.1900</v>
      </c>
      <c r="D62" s="115" t="s">
        <v>145</v>
      </c>
      <c r="E62" s="115" t="s">
        <v>140</v>
      </c>
      <c r="F62" s="115" t="s">
        <v>43</v>
      </c>
      <c r="G62" s="115" t="s">
        <v>43</v>
      </c>
      <c r="H62" s="115" t="s">
        <v>145</v>
      </c>
      <c r="I62" s="63">
        <f>Данные!A51</f>
        <v>0</v>
      </c>
      <c r="J62" s="111" t="str">
        <f>CONCATENATE(Данные!D51,"/",Данные!E51)</f>
        <v>/</v>
      </c>
      <c r="K62" s="151" t="s">
        <v>43</v>
      </c>
      <c r="L62" s="151" t="s">
        <v>43</v>
      </c>
      <c r="M62" s="152" t="s">
        <v>43</v>
      </c>
      <c r="N62" s="153" t="s">
        <v>43</v>
      </c>
      <c r="O62" s="154" t="s">
        <v>145</v>
      </c>
      <c r="P62" s="64">
        <f>Данные!K51</f>
        <v>0</v>
      </c>
      <c r="Q62" s="154">
        <f>Данные!H51</f>
        <v>0</v>
      </c>
      <c r="R62" s="154"/>
      <c r="S62" s="65"/>
      <c r="T62" s="65"/>
      <c r="U62" s="154">
        <f t="shared" si="1"/>
        <v>0</v>
      </c>
      <c r="V62" s="154"/>
      <c r="W62" s="65"/>
      <c r="X62" s="80"/>
    </row>
    <row r="63" spans="1:24" ht="15" customHeight="1" x14ac:dyDescent="0.25">
      <c r="A63" s="31">
        <v>51</v>
      </c>
      <c r="B63" s="172" t="str">
        <f>IF(Данные!D52="","26","01")</f>
        <v>26</v>
      </c>
      <c r="C63" s="63" t="str">
        <f>CONCATENATE("№",Данные!F52,";", TEXT(Данные!G52,"ДД.ММ.ГГГГ"))</f>
        <v>№;00.01.1900</v>
      </c>
      <c r="D63" s="115" t="s">
        <v>145</v>
      </c>
      <c r="E63" s="115" t="s">
        <v>140</v>
      </c>
      <c r="F63" s="115" t="s">
        <v>43</v>
      </c>
      <c r="G63" s="115" t="s">
        <v>43</v>
      </c>
      <c r="H63" s="115" t="s">
        <v>145</v>
      </c>
      <c r="I63" s="63">
        <f>Данные!A52</f>
        <v>0</v>
      </c>
      <c r="J63" s="111" t="str">
        <f>CONCATENATE(Данные!D52,"/",Данные!E52)</f>
        <v>/</v>
      </c>
      <c r="K63" s="151" t="s">
        <v>43</v>
      </c>
      <c r="L63" s="151" t="s">
        <v>43</v>
      </c>
      <c r="M63" s="152" t="s">
        <v>43</v>
      </c>
      <c r="N63" s="153" t="s">
        <v>43</v>
      </c>
      <c r="O63" s="154" t="s">
        <v>145</v>
      </c>
      <c r="P63" s="64">
        <f>Данные!K52</f>
        <v>0</v>
      </c>
      <c r="Q63" s="154">
        <f>Данные!H52</f>
        <v>0</v>
      </c>
      <c r="R63" s="154"/>
      <c r="S63" s="65"/>
      <c r="T63" s="65"/>
      <c r="U63" s="154">
        <f t="shared" si="1"/>
        <v>0</v>
      </c>
      <c r="V63" s="154"/>
      <c r="W63" s="65"/>
      <c r="X63" s="80"/>
    </row>
    <row r="64" spans="1:24" ht="15" customHeight="1" x14ac:dyDescent="0.25">
      <c r="A64" s="31">
        <v>52</v>
      </c>
      <c r="B64" s="172" t="str">
        <f>IF(Данные!D53="","26","01")</f>
        <v>26</v>
      </c>
      <c r="C64" s="63" t="str">
        <f>CONCATENATE("№",Данные!F53,";", TEXT(Данные!G53,"ДД.ММ.ГГГГ"))</f>
        <v>№;00.01.1900</v>
      </c>
      <c r="D64" s="115" t="s">
        <v>145</v>
      </c>
      <c r="E64" s="115" t="s">
        <v>140</v>
      </c>
      <c r="F64" s="115" t="s">
        <v>43</v>
      </c>
      <c r="G64" s="115" t="s">
        <v>43</v>
      </c>
      <c r="H64" s="115" t="s">
        <v>145</v>
      </c>
      <c r="I64" s="63">
        <f>Данные!A53</f>
        <v>0</v>
      </c>
      <c r="J64" s="111" t="str">
        <f>CONCATENATE(Данные!D53,"/",Данные!E53)</f>
        <v>/</v>
      </c>
      <c r="K64" s="151" t="s">
        <v>43</v>
      </c>
      <c r="L64" s="151" t="s">
        <v>43</v>
      </c>
      <c r="M64" s="152" t="s">
        <v>43</v>
      </c>
      <c r="N64" s="153" t="s">
        <v>43</v>
      </c>
      <c r="O64" s="154" t="s">
        <v>145</v>
      </c>
      <c r="P64" s="64">
        <f>Данные!K53</f>
        <v>0</v>
      </c>
      <c r="Q64" s="154">
        <f>Данные!H53</f>
        <v>0</v>
      </c>
      <c r="R64" s="154"/>
      <c r="S64" s="65"/>
      <c r="T64" s="65"/>
      <c r="U64" s="154">
        <f t="shared" si="1"/>
        <v>0</v>
      </c>
      <c r="V64" s="154"/>
      <c r="W64" s="65"/>
      <c r="X64" s="80"/>
    </row>
    <row r="65" spans="1:24" ht="15" customHeight="1" x14ac:dyDescent="0.25">
      <c r="A65" s="31">
        <v>53</v>
      </c>
      <c r="B65" s="172" t="str">
        <f>IF(Данные!D54="","26","01")</f>
        <v>26</v>
      </c>
      <c r="C65" s="63" t="str">
        <f>CONCATENATE("№",Данные!F54,";", TEXT(Данные!G54,"ДД.ММ.ГГГГ"))</f>
        <v>№;00.01.1900</v>
      </c>
      <c r="D65" s="115" t="s">
        <v>145</v>
      </c>
      <c r="E65" s="115" t="s">
        <v>140</v>
      </c>
      <c r="F65" s="115" t="s">
        <v>43</v>
      </c>
      <c r="G65" s="115" t="s">
        <v>43</v>
      </c>
      <c r="H65" s="115" t="s">
        <v>145</v>
      </c>
      <c r="I65" s="63">
        <f>Данные!A54</f>
        <v>0</v>
      </c>
      <c r="J65" s="111" t="str">
        <f>CONCATENATE(Данные!D54,"/",Данные!E54)</f>
        <v>/</v>
      </c>
      <c r="K65" s="151" t="s">
        <v>43</v>
      </c>
      <c r="L65" s="151" t="s">
        <v>43</v>
      </c>
      <c r="M65" s="152" t="s">
        <v>43</v>
      </c>
      <c r="N65" s="153" t="s">
        <v>43</v>
      </c>
      <c r="O65" s="154" t="s">
        <v>145</v>
      </c>
      <c r="P65" s="64">
        <f>Данные!K54</f>
        <v>0</v>
      </c>
      <c r="Q65" s="154">
        <f>Данные!H54</f>
        <v>0</v>
      </c>
      <c r="R65" s="154"/>
      <c r="S65" s="65"/>
      <c r="T65" s="65"/>
      <c r="U65" s="154">
        <f t="shared" si="1"/>
        <v>0</v>
      </c>
      <c r="V65" s="154"/>
      <c r="W65" s="65"/>
      <c r="X65" s="80"/>
    </row>
    <row r="66" spans="1:24" ht="15" customHeight="1" x14ac:dyDescent="0.25">
      <c r="A66" s="31">
        <v>54</v>
      </c>
      <c r="B66" s="172" t="str">
        <f>IF(Данные!D55="","26","01")</f>
        <v>26</v>
      </c>
      <c r="C66" s="63" t="str">
        <f>CONCATENATE("№",Данные!F55,";", TEXT(Данные!G55,"ДД.ММ.ГГГГ"))</f>
        <v>№;00.01.1900</v>
      </c>
      <c r="D66" s="115" t="s">
        <v>145</v>
      </c>
      <c r="E66" s="115" t="s">
        <v>140</v>
      </c>
      <c r="F66" s="115" t="s">
        <v>43</v>
      </c>
      <c r="G66" s="115" t="s">
        <v>43</v>
      </c>
      <c r="H66" s="115" t="s">
        <v>145</v>
      </c>
      <c r="I66" s="63">
        <f>Данные!A55</f>
        <v>0</v>
      </c>
      <c r="J66" s="111" t="str">
        <f>CONCATENATE(Данные!D55,"/",Данные!E55)</f>
        <v>/</v>
      </c>
      <c r="K66" s="151" t="s">
        <v>43</v>
      </c>
      <c r="L66" s="151" t="s">
        <v>43</v>
      </c>
      <c r="M66" s="152" t="s">
        <v>43</v>
      </c>
      <c r="N66" s="153" t="s">
        <v>43</v>
      </c>
      <c r="O66" s="154" t="s">
        <v>145</v>
      </c>
      <c r="P66" s="64">
        <f>Данные!K55</f>
        <v>0</v>
      </c>
      <c r="Q66" s="154">
        <f>Данные!H55</f>
        <v>0</v>
      </c>
      <c r="R66" s="154"/>
      <c r="S66" s="65"/>
      <c r="T66" s="65"/>
      <c r="U66" s="154">
        <f t="shared" si="1"/>
        <v>0</v>
      </c>
      <c r="V66" s="154"/>
      <c r="W66" s="65"/>
      <c r="X66" s="80"/>
    </row>
    <row r="67" spans="1:24" ht="15" customHeight="1" x14ac:dyDescent="0.25">
      <c r="A67" s="31">
        <v>55</v>
      </c>
      <c r="B67" s="172" t="str">
        <f>IF(Данные!D56="","26","01")</f>
        <v>26</v>
      </c>
      <c r="C67" s="63" t="str">
        <f>CONCATENATE("№",Данные!F56,";", TEXT(Данные!G56,"ДД.ММ.ГГГГ"))</f>
        <v>№;00.01.1900</v>
      </c>
      <c r="D67" s="115" t="s">
        <v>145</v>
      </c>
      <c r="E67" s="115" t="s">
        <v>140</v>
      </c>
      <c r="F67" s="115" t="s">
        <v>43</v>
      </c>
      <c r="G67" s="115" t="s">
        <v>43</v>
      </c>
      <c r="H67" s="115" t="s">
        <v>145</v>
      </c>
      <c r="I67" s="63">
        <f>Данные!A56</f>
        <v>0</v>
      </c>
      <c r="J67" s="111" t="str">
        <f>CONCATENATE(Данные!D56,"/",Данные!E56)</f>
        <v>/</v>
      </c>
      <c r="K67" s="151" t="s">
        <v>43</v>
      </c>
      <c r="L67" s="151" t="s">
        <v>43</v>
      </c>
      <c r="M67" s="152" t="s">
        <v>43</v>
      </c>
      <c r="N67" s="153" t="s">
        <v>43</v>
      </c>
      <c r="O67" s="154" t="s">
        <v>145</v>
      </c>
      <c r="P67" s="64">
        <f>Данные!K56</f>
        <v>0</v>
      </c>
      <c r="Q67" s="154">
        <f>Данные!H56</f>
        <v>0</v>
      </c>
      <c r="R67" s="154"/>
      <c r="S67" s="65"/>
      <c r="T67" s="65"/>
      <c r="U67" s="154">
        <f t="shared" si="1"/>
        <v>0</v>
      </c>
      <c r="V67" s="154"/>
      <c r="W67" s="65"/>
      <c r="X67" s="80"/>
    </row>
    <row r="68" spans="1:24" ht="15" customHeight="1" x14ac:dyDescent="0.25">
      <c r="A68" s="31">
        <v>56</v>
      </c>
      <c r="B68" s="172" t="str">
        <f>IF(Данные!D57="","26","01")</f>
        <v>26</v>
      </c>
      <c r="C68" s="63" t="str">
        <f>CONCATENATE("№",Данные!F57,";", TEXT(Данные!G57,"ДД.ММ.ГГГГ"))</f>
        <v>№;00.01.1900</v>
      </c>
      <c r="D68" s="115" t="s">
        <v>145</v>
      </c>
      <c r="E68" s="115" t="s">
        <v>140</v>
      </c>
      <c r="F68" s="115" t="s">
        <v>43</v>
      </c>
      <c r="G68" s="115" t="s">
        <v>43</v>
      </c>
      <c r="H68" s="115" t="s">
        <v>145</v>
      </c>
      <c r="I68" s="63">
        <f>Данные!A57</f>
        <v>0</v>
      </c>
      <c r="J68" s="111" t="str">
        <f>CONCATENATE(Данные!D57,"/",Данные!E57)</f>
        <v>/</v>
      </c>
      <c r="K68" s="151" t="s">
        <v>43</v>
      </c>
      <c r="L68" s="151" t="s">
        <v>43</v>
      </c>
      <c r="M68" s="152" t="s">
        <v>43</v>
      </c>
      <c r="N68" s="153" t="s">
        <v>43</v>
      </c>
      <c r="O68" s="154" t="s">
        <v>145</v>
      </c>
      <c r="P68" s="64">
        <f>Данные!K57</f>
        <v>0</v>
      </c>
      <c r="Q68" s="154">
        <f>Данные!H57</f>
        <v>0</v>
      </c>
      <c r="R68" s="154"/>
      <c r="S68" s="65"/>
      <c r="T68" s="65"/>
      <c r="U68" s="154">
        <f t="shared" si="1"/>
        <v>0</v>
      </c>
      <c r="V68" s="154"/>
      <c r="W68" s="65"/>
      <c r="X68" s="80"/>
    </row>
    <row r="69" spans="1:24" ht="15" customHeight="1" x14ac:dyDescent="0.25">
      <c r="A69" s="31">
        <v>57</v>
      </c>
      <c r="B69" s="172" t="str">
        <f>IF(Данные!D58="","26","01")</f>
        <v>26</v>
      </c>
      <c r="C69" s="63" t="str">
        <f>CONCATENATE("№",Данные!F58,";", TEXT(Данные!G58,"ДД.ММ.ГГГГ"))</f>
        <v>№;00.01.1900</v>
      </c>
      <c r="D69" s="115" t="s">
        <v>145</v>
      </c>
      <c r="E69" s="115" t="s">
        <v>140</v>
      </c>
      <c r="F69" s="115" t="s">
        <v>43</v>
      </c>
      <c r="G69" s="115" t="s">
        <v>43</v>
      </c>
      <c r="H69" s="115" t="s">
        <v>145</v>
      </c>
      <c r="I69" s="63">
        <f>Данные!A58</f>
        <v>0</v>
      </c>
      <c r="J69" s="111" t="str">
        <f>CONCATENATE(Данные!D58,"/",Данные!E58)</f>
        <v>/</v>
      </c>
      <c r="K69" s="151" t="s">
        <v>43</v>
      </c>
      <c r="L69" s="151" t="s">
        <v>43</v>
      </c>
      <c r="M69" s="152" t="s">
        <v>43</v>
      </c>
      <c r="N69" s="153" t="s">
        <v>43</v>
      </c>
      <c r="O69" s="154" t="s">
        <v>145</v>
      </c>
      <c r="P69" s="64">
        <f>Данные!K58</f>
        <v>0</v>
      </c>
      <c r="Q69" s="154">
        <f>Данные!H58</f>
        <v>0</v>
      </c>
      <c r="R69" s="154"/>
      <c r="S69" s="65"/>
      <c r="T69" s="65"/>
      <c r="U69" s="154">
        <f t="shared" si="1"/>
        <v>0</v>
      </c>
      <c r="V69" s="154"/>
      <c r="W69" s="65"/>
      <c r="X69" s="80"/>
    </row>
    <row r="70" spans="1:24" ht="15" customHeight="1" x14ac:dyDescent="0.25">
      <c r="A70" s="31">
        <v>58</v>
      </c>
      <c r="B70" s="172" t="str">
        <f>IF(Данные!D59="","26","01")</f>
        <v>26</v>
      </c>
      <c r="C70" s="63" t="str">
        <f>CONCATENATE("№",Данные!F59,";", TEXT(Данные!G59,"ДД.ММ.ГГГГ"))</f>
        <v>№;00.01.1900</v>
      </c>
      <c r="D70" s="115" t="s">
        <v>145</v>
      </c>
      <c r="E70" s="115" t="s">
        <v>140</v>
      </c>
      <c r="F70" s="115" t="s">
        <v>43</v>
      </c>
      <c r="G70" s="115" t="s">
        <v>43</v>
      </c>
      <c r="H70" s="115" t="s">
        <v>145</v>
      </c>
      <c r="I70" s="63">
        <f>Данные!A59</f>
        <v>0</v>
      </c>
      <c r="J70" s="111" t="str">
        <f>CONCATENATE(Данные!D59,"/",Данные!E59)</f>
        <v>/</v>
      </c>
      <c r="K70" s="151" t="s">
        <v>43</v>
      </c>
      <c r="L70" s="151" t="s">
        <v>43</v>
      </c>
      <c r="M70" s="152" t="s">
        <v>43</v>
      </c>
      <c r="N70" s="153" t="s">
        <v>43</v>
      </c>
      <c r="O70" s="154" t="s">
        <v>145</v>
      </c>
      <c r="P70" s="64">
        <f>Данные!K59</f>
        <v>0</v>
      </c>
      <c r="Q70" s="154">
        <f>Данные!H59</f>
        <v>0</v>
      </c>
      <c r="R70" s="154"/>
      <c r="S70" s="65"/>
      <c r="T70" s="65"/>
      <c r="U70" s="154">
        <f t="shared" si="1"/>
        <v>0</v>
      </c>
      <c r="V70" s="154"/>
      <c r="W70" s="65"/>
      <c r="X70" s="80"/>
    </row>
    <row r="71" spans="1:24" ht="15" customHeight="1" x14ac:dyDescent="0.25">
      <c r="A71" s="31">
        <v>59</v>
      </c>
      <c r="B71" s="172" t="str">
        <f>IF(Данные!D60="","26","01")</f>
        <v>26</v>
      </c>
      <c r="C71" s="63" t="str">
        <f>CONCATENATE("№",Данные!F60,";", TEXT(Данные!G60,"ДД.ММ.ГГГГ"))</f>
        <v>№;00.01.1900</v>
      </c>
      <c r="D71" s="115" t="s">
        <v>145</v>
      </c>
      <c r="E71" s="115" t="s">
        <v>140</v>
      </c>
      <c r="F71" s="115" t="s">
        <v>43</v>
      </c>
      <c r="G71" s="115" t="s">
        <v>43</v>
      </c>
      <c r="H71" s="115" t="s">
        <v>145</v>
      </c>
      <c r="I71" s="63">
        <f>Данные!A60</f>
        <v>0</v>
      </c>
      <c r="J71" s="111" t="str">
        <f>CONCATENATE(Данные!D60,"/",Данные!E60)</f>
        <v>/</v>
      </c>
      <c r="K71" s="151" t="s">
        <v>43</v>
      </c>
      <c r="L71" s="151" t="s">
        <v>43</v>
      </c>
      <c r="M71" s="152" t="s">
        <v>43</v>
      </c>
      <c r="N71" s="153" t="s">
        <v>43</v>
      </c>
      <c r="O71" s="154" t="s">
        <v>145</v>
      </c>
      <c r="P71" s="64">
        <f>Данные!K60</f>
        <v>0</v>
      </c>
      <c r="Q71" s="154">
        <f>Данные!H60</f>
        <v>0</v>
      </c>
      <c r="R71" s="154"/>
      <c r="S71" s="65"/>
      <c r="T71" s="65"/>
      <c r="U71" s="154">
        <f t="shared" si="1"/>
        <v>0</v>
      </c>
      <c r="V71" s="154"/>
      <c r="W71" s="65"/>
      <c r="X71" s="80"/>
    </row>
    <row r="72" spans="1:24" ht="15" customHeight="1" x14ac:dyDescent="0.25">
      <c r="A72" s="31">
        <v>60</v>
      </c>
      <c r="B72" s="172" t="str">
        <f>IF(Данные!D61="","26","01")</f>
        <v>26</v>
      </c>
      <c r="C72" s="63" t="str">
        <f>CONCATENATE("№",Данные!F61,";", TEXT(Данные!G61,"ДД.ММ.ГГГГ"))</f>
        <v>№;00.01.1900</v>
      </c>
      <c r="D72" s="115" t="s">
        <v>145</v>
      </c>
      <c r="E72" s="115" t="s">
        <v>140</v>
      </c>
      <c r="F72" s="115" t="s">
        <v>43</v>
      </c>
      <c r="G72" s="115" t="s">
        <v>43</v>
      </c>
      <c r="H72" s="115" t="s">
        <v>145</v>
      </c>
      <c r="I72" s="63">
        <f>Данные!A61</f>
        <v>0</v>
      </c>
      <c r="J72" s="111" t="str">
        <f>CONCATENATE(Данные!D61,"/",Данные!E61)</f>
        <v>/</v>
      </c>
      <c r="K72" s="151" t="s">
        <v>43</v>
      </c>
      <c r="L72" s="151" t="s">
        <v>43</v>
      </c>
      <c r="M72" s="152" t="s">
        <v>43</v>
      </c>
      <c r="N72" s="153" t="s">
        <v>43</v>
      </c>
      <c r="O72" s="154" t="s">
        <v>145</v>
      </c>
      <c r="P72" s="64">
        <f>Данные!K61</f>
        <v>0</v>
      </c>
      <c r="Q72" s="154">
        <f>Данные!H61</f>
        <v>0</v>
      </c>
      <c r="R72" s="154"/>
      <c r="S72" s="65"/>
      <c r="T72" s="65"/>
      <c r="U72" s="154">
        <f t="shared" si="1"/>
        <v>0</v>
      </c>
      <c r="V72" s="154"/>
      <c r="W72" s="65"/>
      <c r="X72" s="80"/>
    </row>
    <row r="73" spans="1:24" ht="15" customHeight="1" x14ac:dyDescent="0.25">
      <c r="A73" s="31">
        <v>61</v>
      </c>
      <c r="B73" s="172" t="str">
        <f>IF(Данные!D62="","26","01")</f>
        <v>26</v>
      </c>
      <c r="C73" s="63" t="str">
        <f>CONCATENATE("№",Данные!F62,";", TEXT(Данные!G62,"ДД.ММ.ГГГГ"))</f>
        <v>№;00.01.1900</v>
      </c>
      <c r="D73" s="115" t="s">
        <v>145</v>
      </c>
      <c r="E73" s="115" t="s">
        <v>140</v>
      </c>
      <c r="F73" s="115" t="s">
        <v>43</v>
      </c>
      <c r="G73" s="115" t="s">
        <v>43</v>
      </c>
      <c r="H73" s="115" t="s">
        <v>145</v>
      </c>
      <c r="I73" s="63">
        <f>Данные!A62</f>
        <v>0</v>
      </c>
      <c r="J73" s="111" t="str">
        <f>CONCATENATE(Данные!D62,"/",Данные!E62)</f>
        <v>/</v>
      </c>
      <c r="K73" s="151" t="s">
        <v>43</v>
      </c>
      <c r="L73" s="151" t="s">
        <v>43</v>
      </c>
      <c r="M73" s="152" t="s">
        <v>43</v>
      </c>
      <c r="N73" s="153" t="s">
        <v>43</v>
      </c>
      <c r="O73" s="154" t="s">
        <v>145</v>
      </c>
      <c r="P73" s="64">
        <f>Данные!K62</f>
        <v>0</v>
      </c>
      <c r="Q73" s="154">
        <f>Данные!H62</f>
        <v>0</v>
      </c>
      <c r="R73" s="154"/>
      <c r="S73" s="65"/>
      <c r="T73" s="65"/>
      <c r="U73" s="154">
        <f t="shared" si="1"/>
        <v>0</v>
      </c>
      <c r="V73" s="154"/>
      <c r="W73" s="65"/>
      <c r="X73" s="80"/>
    </row>
    <row r="74" spans="1:24" ht="15" customHeight="1" x14ac:dyDescent="0.25">
      <c r="A74" s="31">
        <v>62</v>
      </c>
      <c r="B74" s="172" t="str">
        <f>IF(Данные!D63="","26","01")</f>
        <v>26</v>
      </c>
      <c r="C74" s="63" t="str">
        <f>CONCATENATE("№",Данные!F63,";", TEXT(Данные!G63,"ДД.ММ.ГГГГ"))</f>
        <v>№;00.01.1900</v>
      </c>
      <c r="D74" s="115" t="s">
        <v>145</v>
      </c>
      <c r="E74" s="115" t="s">
        <v>140</v>
      </c>
      <c r="F74" s="115" t="s">
        <v>43</v>
      </c>
      <c r="G74" s="115" t="s">
        <v>43</v>
      </c>
      <c r="H74" s="115" t="s">
        <v>145</v>
      </c>
      <c r="I74" s="63">
        <f>Данные!A63</f>
        <v>0</v>
      </c>
      <c r="J74" s="111" t="str">
        <f>CONCATENATE(Данные!D63,"/",Данные!E63)</f>
        <v>/</v>
      </c>
      <c r="K74" s="151" t="s">
        <v>43</v>
      </c>
      <c r="L74" s="151" t="s">
        <v>43</v>
      </c>
      <c r="M74" s="152" t="s">
        <v>43</v>
      </c>
      <c r="N74" s="153" t="s">
        <v>43</v>
      </c>
      <c r="O74" s="154" t="s">
        <v>145</v>
      </c>
      <c r="P74" s="64">
        <f>Данные!K63</f>
        <v>0</v>
      </c>
      <c r="Q74" s="154">
        <f>Данные!H63</f>
        <v>0</v>
      </c>
      <c r="R74" s="154"/>
      <c r="S74" s="65"/>
      <c r="T74" s="65"/>
      <c r="U74" s="154">
        <f t="shared" si="1"/>
        <v>0</v>
      </c>
      <c r="V74" s="154"/>
      <c r="W74" s="65"/>
      <c r="X74" s="80"/>
    </row>
    <row r="75" spans="1:24" ht="15" customHeight="1" x14ac:dyDescent="0.25">
      <c r="A75" s="31">
        <v>63</v>
      </c>
      <c r="B75" s="172" t="str">
        <f>IF(Данные!D64="","26","01")</f>
        <v>26</v>
      </c>
      <c r="C75" s="63" t="str">
        <f>CONCATENATE("№",Данные!F64,";", TEXT(Данные!G64,"ДД.ММ.ГГГГ"))</f>
        <v>№;00.01.1900</v>
      </c>
      <c r="D75" s="115" t="s">
        <v>145</v>
      </c>
      <c r="E75" s="115" t="s">
        <v>140</v>
      </c>
      <c r="F75" s="115" t="s">
        <v>43</v>
      </c>
      <c r="G75" s="115" t="s">
        <v>43</v>
      </c>
      <c r="H75" s="115" t="s">
        <v>145</v>
      </c>
      <c r="I75" s="63">
        <f>Данные!A64</f>
        <v>0</v>
      </c>
      <c r="J75" s="111" t="str">
        <f>CONCATENATE(Данные!D64,"/",Данные!E64)</f>
        <v>/</v>
      </c>
      <c r="K75" s="151" t="s">
        <v>43</v>
      </c>
      <c r="L75" s="151" t="s">
        <v>43</v>
      </c>
      <c r="M75" s="152" t="s">
        <v>43</v>
      </c>
      <c r="N75" s="153" t="s">
        <v>43</v>
      </c>
      <c r="O75" s="154" t="s">
        <v>145</v>
      </c>
      <c r="P75" s="64">
        <f>Данные!K64</f>
        <v>0</v>
      </c>
      <c r="Q75" s="154">
        <f>Данные!H64</f>
        <v>0</v>
      </c>
      <c r="R75" s="154"/>
      <c r="S75" s="65"/>
      <c r="T75" s="65"/>
      <c r="U75" s="154">
        <f t="shared" si="1"/>
        <v>0</v>
      </c>
      <c r="V75" s="154"/>
      <c r="W75" s="65"/>
      <c r="X75" s="80"/>
    </row>
    <row r="76" spans="1:24" ht="15" customHeight="1" x14ac:dyDescent="0.25">
      <c r="A76" s="31">
        <v>64</v>
      </c>
      <c r="B76" s="172" t="str">
        <f>IF(Данные!D65="","26","01")</f>
        <v>26</v>
      </c>
      <c r="C76" s="63" t="str">
        <f>CONCATENATE("№",Данные!F65,";", TEXT(Данные!G65,"ДД.ММ.ГГГГ"))</f>
        <v>№;00.01.1900</v>
      </c>
      <c r="D76" s="115" t="s">
        <v>145</v>
      </c>
      <c r="E76" s="115" t="s">
        <v>140</v>
      </c>
      <c r="F76" s="115" t="s">
        <v>43</v>
      </c>
      <c r="G76" s="115" t="s">
        <v>43</v>
      </c>
      <c r="H76" s="115" t="s">
        <v>145</v>
      </c>
      <c r="I76" s="63">
        <f>Данные!A65</f>
        <v>0</v>
      </c>
      <c r="J76" s="111" t="str">
        <f>CONCATENATE(Данные!D65,"/",Данные!E65)</f>
        <v>/</v>
      </c>
      <c r="K76" s="151" t="s">
        <v>43</v>
      </c>
      <c r="L76" s="151" t="s">
        <v>43</v>
      </c>
      <c r="M76" s="152" t="s">
        <v>43</v>
      </c>
      <c r="N76" s="153" t="s">
        <v>43</v>
      </c>
      <c r="O76" s="154" t="s">
        <v>145</v>
      </c>
      <c r="P76" s="64">
        <f>Данные!K65</f>
        <v>0</v>
      </c>
      <c r="Q76" s="154">
        <f>Данные!H65</f>
        <v>0</v>
      </c>
      <c r="R76" s="154"/>
      <c r="S76" s="65"/>
      <c r="T76" s="65"/>
      <c r="U76" s="154">
        <f t="shared" si="1"/>
        <v>0</v>
      </c>
      <c r="V76" s="154"/>
      <c r="W76" s="65"/>
      <c r="X76" s="80"/>
    </row>
    <row r="77" spans="1:24" ht="15" customHeight="1" x14ac:dyDescent="0.25">
      <c r="A77" s="31">
        <v>65</v>
      </c>
      <c r="B77" s="172" t="str">
        <f>IF(Данные!D66="","26","01")</f>
        <v>26</v>
      </c>
      <c r="C77" s="63" t="str">
        <f>CONCATENATE("№",Данные!F66,";", TEXT(Данные!G66,"ДД.ММ.ГГГГ"))</f>
        <v>№;00.01.1900</v>
      </c>
      <c r="D77" s="115" t="s">
        <v>145</v>
      </c>
      <c r="E77" s="115" t="s">
        <v>140</v>
      </c>
      <c r="F77" s="115" t="s">
        <v>43</v>
      </c>
      <c r="G77" s="115" t="s">
        <v>43</v>
      </c>
      <c r="H77" s="115" t="s">
        <v>145</v>
      </c>
      <c r="I77" s="63">
        <f>Данные!A66</f>
        <v>0</v>
      </c>
      <c r="J77" s="111" t="str">
        <f>CONCATENATE(Данные!D66,"/",Данные!E66)</f>
        <v>/</v>
      </c>
      <c r="K77" s="151" t="s">
        <v>43</v>
      </c>
      <c r="L77" s="151" t="s">
        <v>43</v>
      </c>
      <c r="M77" s="152" t="s">
        <v>43</v>
      </c>
      <c r="N77" s="153" t="s">
        <v>43</v>
      </c>
      <c r="O77" s="154" t="s">
        <v>145</v>
      </c>
      <c r="P77" s="64">
        <f>Данные!K66</f>
        <v>0</v>
      </c>
      <c r="Q77" s="154">
        <f>Данные!H66</f>
        <v>0</v>
      </c>
      <c r="R77" s="154"/>
      <c r="S77" s="65"/>
      <c r="T77" s="65"/>
      <c r="U77" s="154">
        <f t="shared" si="1"/>
        <v>0</v>
      </c>
      <c r="V77" s="154"/>
      <c r="W77" s="65"/>
      <c r="X77" s="80"/>
    </row>
    <row r="78" spans="1:24" ht="15" customHeight="1" x14ac:dyDescent="0.25">
      <c r="A78" s="31">
        <v>66</v>
      </c>
      <c r="B78" s="172" t="str">
        <f>IF(Данные!D67="","26","01")</f>
        <v>26</v>
      </c>
      <c r="C78" s="63" t="str">
        <f>CONCATENATE("№",Данные!F67,";", TEXT(Данные!G67,"ДД.ММ.ГГГГ"))</f>
        <v>№;00.01.1900</v>
      </c>
      <c r="D78" s="115" t="s">
        <v>145</v>
      </c>
      <c r="E78" s="115" t="s">
        <v>140</v>
      </c>
      <c r="F78" s="115" t="s">
        <v>43</v>
      </c>
      <c r="G78" s="115" t="s">
        <v>43</v>
      </c>
      <c r="H78" s="115" t="s">
        <v>145</v>
      </c>
      <c r="I78" s="63">
        <f>Данные!A67</f>
        <v>0</v>
      </c>
      <c r="J78" s="111" t="str">
        <f>CONCATENATE(Данные!D67,"/",Данные!E67)</f>
        <v>/</v>
      </c>
      <c r="K78" s="151" t="s">
        <v>43</v>
      </c>
      <c r="L78" s="151" t="s">
        <v>43</v>
      </c>
      <c r="M78" s="152" t="s">
        <v>43</v>
      </c>
      <c r="N78" s="153" t="s">
        <v>43</v>
      </c>
      <c r="O78" s="154" t="s">
        <v>145</v>
      </c>
      <c r="P78" s="64">
        <f>Данные!K67</f>
        <v>0</v>
      </c>
      <c r="Q78" s="154">
        <f>Данные!H67</f>
        <v>0</v>
      </c>
      <c r="R78" s="154"/>
      <c r="S78" s="65"/>
      <c r="T78" s="65"/>
      <c r="U78" s="154">
        <f t="shared" ref="U78:U111" si="2">P78-Q78</f>
        <v>0</v>
      </c>
      <c r="V78" s="154"/>
      <c r="W78" s="65"/>
      <c r="X78" s="80"/>
    </row>
    <row r="79" spans="1:24" ht="15" customHeight="1" x14ac:dyDescent="0.25">
      <c r="A79" s="31">
        <v>67</v>
      </c>
      <c r="B79" s="172" t="str">
        <f>IF(Данные!D68="","26","01")</f>
        <v>26</v>
      </c>
      <c r="C79" s="63" t="str">
        <f>CONCATENATE("№",Данные!F68,";", TEXT(Данные!G68,"ДД.ММ.ГГГГ"))</f>
        <v>№;00.01.1900</v>
      </c>
      <c r="D79" s="115" t="s">
        <v>145</v>
      </c>
      <c r="E79" s="115" t="s">
        <v>140</v>
      </c>
      <c r="F79" s="115" t="s">
        <v>43</v>
      </c>
      <c r="G79" s="115" t="s">
        <v>43</v>
      </c>
      <c r="H79" s="115" t="s">
        <v>145</v>
      </c>
      <c r="I79" s="63">
        <f>Данные!A68</f>
        <v>0</v>
      </c>
      <c r="J79" s="111" t="str">
        <f>CONCATENATE(Данные!D68,"/",Данные!E68)</f>
        <v>/</v>
      </c>
      <c r="K79" s="151" t="s">
        <v>43</v>
      </c>
      <c r="L79" s="151" t="s">
        <v>43</v>
      </c>
      <c r="M79" s="152" t="s">
        <v>43</v>
      </c>
      <c r="N79" s="153" t="s">
        <v>43</v>
      </c>
      <c r="O79" s="154" t="s">
        <v>145</v>
      </c>
      <c r="P79" s="64">
        <f>Данные!K68</f>
        <v>0</v>
      </c>
      <c r="Q79" s="154">
        <f>Данные!H68</f>
        <v>0</v>
      </c>
      <c r="R79" s="154"/>
      <c r="S79" s="65"/>
      <c r="T79" s="65"/>
      <c r="U79" s="154">
        <f t="shared" si="2"/>
        <v>0</v>
      </c>
      <c r="V79" s="154"/>
      <c r="W79" s="65"/>
      <c r="X79" s="80"/>
    </row>
    <row r="80" spans="1:24" ht="15" customHeight="1" x14ac:dyDescent="0.25">
      <c r="A80" s="31">
        <v>68</v>
      </c>
      <c r="B80" s="172" t="str">
        <f>IF(Данные!D69="","26","01")</f>
        <v>26</v>
      </c>
      <c r="C80" s="63" t="str">
        <f>CONCATENATE("№",Данные!F69,";", TEXT(Данные!G69,"ДД.ММ.ГГГГ"))</f>
        <v>№;00.01.1900</v>
      </c>
      <c r="D80" s="115" t="s">
        <v>145</v>
      </c>
      <c r="E80" s="115" t="s">
        <v>140</v>
      </c>
      <c r="F80" s="115" t="s">
        <v>43</v>
      </c>
      <c r="G80" s="115" t="s">
        <v>43</v>
      </c>
      <c r="H80" s="115" t="s">
        <v>145</v>
      </c>
      <c r="I80" s="63">
        <f>Данные!A69</f>
        <v>0</v>
      </c>
      <c r="J80" s="111" t="str">
        <f>CONCATENATE(Данные!D69,"/",Данные!E69)</f>
        <v>/</v>
      </c>
      <c r="K80" s="151" t="s">
        <v>43</v>
      </c>
      <c r="L80" s="151" t="s">
        <v>43</v>
      </c>
      <c r="M80" s="152" t="s">
        <v>43</v>
      </c>
      <c r="N80" s="153" t="s">
        <v>43</v>
      </c>
      <c r="O80" s="154" t="s">
        <v>145</v>
      </c>
      <c r="P80" s="64">
        <f>Данные!K69</f>
        <v>0</v>
      </c>
      <c r="Q80" s="154">
        <f>Данные!H69</f>
        <v>0</v>
      </c>
      <c r="R80" s="154"/>
      <c r="S80" s="65"/>
      <c r="T80" s="65"/>
      <c r="U80" s="154">
        <f t="shared" si="2"/>
        <v>0</v>
      </c>
      <c r="V80" s="154"/>
      <c r="W80" s="65"/>
      <c r="X80" s="80"/>
    </row>
    <row r="81" spans="1:24" ht="15" customHeight="1" x14ac:dyDescent="0.25">
      <c r="A81" s="31">
        <v>69</v>
      </c>
      <c r="B81" s="172" t="str">
        <f>IF(Данные!D70="","26","01")</f>
        <v>26</v>
      </c>
      <c r="C81" s="63" t="str">
        <f>CONCATENATE("№",Данные!F70,";", TEXT(Данные!G70,"ДД.ММ.ГГГГ"))</f>
        <v>№;00.01.1900</v>
      </c>
      <c r="D81" s="115" t="s">
        <v>145</v>
      </c>
      <c r="E81" s="115" t="s">
        <v>140</v>
      </c>
      <c r="F81" s="115" t="s">
        <v>43</v>
      </c>
      <c r="G81" s="115" t="s">
        <v>43</v>
      </c>
      <c r="H81" s="115" t="s">
        <v>145</v>
      </c>
      <c r="I81" s="63">
        <f>Данные!A70</f>
        <v>0</v>
      </c>
      <c r="J81" s="111" t="str">
        <f>CONCATENATE(Данные!D70,"/",Данные!E70)</f>
        <v>/</v>
      </c>
      <c r="K81" s="151" t="s">
        <v>43</v>
      </c>
      <c r="L81" s="151" t="s">
        <v>43</v>
      </c>
      <c r="M81" s="152" t="s">
        <v>43</v>
      </c>
      <c r="N81" s="153" t="s">
        <v>43</v>
      </c>
      <c r="O81" s="154" t="s">
        <v>145</v>
      </c>
      <c r="P81" s="64">
        <f>Данные!K70</f>
        <v>0</v>
      </c>
      <c r="Q81" s="154">
        <f>Данные!H70</f>
        <v>0</v>
      </c>
      <c r="R81" s="154"/>
      <c r="S81" s="65"/>
      <c r="T81" s="65"/>
      <c r="U81" s="154">
        <f t="shared" si="2"/>
        <v>0</v>
      </c>
      <c r="V81" s="154"/>
      <c r="W81" s="65"/>
      <c r="X81" s="80"/>
    </row>
    <row r="82" spans="1:24" ht="15" customHeight="1" x14ac:dyDescent="0.25">
      <c r="A82" s="31">
        <v>70</v>
      </c>
      <c r="B82" s="172" t="str">
        <f>IF(Данные!D71="","26","01")</f>
        <v>26</v>
      </c>
      <c r="C82" s="63" t="str">
        <f>CONCATENATE("№",Данные!F71,";", TEXT(Данные!G71,"ДД.ММ.ГГГГ"))</f>
        <v>№;00.01.1900</v>
      </c>
      <c r="D82" s="115" t="s">
        <v>145</v>
      </c>
      <c r="E82" s="115" t="s">
        <v>140</v>
      </c>
      <c r="F82" s="115" t="s">
        <v>43</v>
      </c>
      <c r="G82" s="115" t="s">
        <v>43</v>
      </c>
      <c r="H82" s="115" t="s">
        <v>145</v>
      </c>
      <c r="I82" s="63">
        <f>Данные!A71</f>
        <v>0</v>
      </c>
      <c r="J82" s="111" t="str">
        <f>CONCATENATE(Данные!D71,"/",Данные!E71)</f>
        <v>/</v>
      </c>
      <c r="K82" s="151" t="s">
        <v>43</v>
      </c>
      <c r="L82" s="151" t="s">
        <v>43</v>
      </c>
      <c r="M82" s="152" t="s">
        <v>43</v>
      </c>
      <c r="N82" s="153" t="s">
        <v>43</v>
      </c>
      <c r="O82" s="154" t="s">
        <v>145</v>
      </c>
      <c r="P82" s="64">
        <f>Данные!K71</f>
        <v>0</v>
      </c>
      <c r="Q82" s="154">
        <f>Данные!H71</f>
        <v>0</v>
      </c>
      <c r="R82" s="154"/>
      <c r="S82" s="65"/>
      <c r="T82" s="65"/>
      <c r="U82" s="154">
        <f t="shared" si="2"/>
        <v>0</v>
      </c>
      <c r="V82" s="154"/>
      <c r="W82" s="65"/>
      <c r="X82" s="80"/>
    </row>
    <row r="83" spans="1:24" ht="15" customHeight="1" x14ac:dyDescent="0.25">
      <c r="A83" s="31">
        <v>71</v>
      </c>
      <c r="B83" s="172" t="str">
        <f>IF(Данные!D72="","26","01")</f>
        <v>26</v>
      </c>
      <c r="C83" s="63" t="str">
        <f>CONCATENATE("№",Данные!F72,";", TEXT(Данные!G72,"ДД.ММ.ГГГГ"))</f>
        <v>№;00.01.1900</v>
      </c>
      <c r="D83" s="115" t="s">
        <v>145</v>
      </c>
      <c r="E83" s="115" t="s">
        <v>140</v>
      </c>
      <c r="F83" s="115" t="s">
        <v>43</v>
      </c>
      <c r="G83" s="115" t="s">
        <v>43</v>
      </c>
      <c r="H83" s="115" t="s">
        <v>145</v>
      </c>
      <c r="I83" s="63">
        <f>Данные!A72</f>
        <v>0</v>
      </c>
      <c r="J83" s="111" t="str">
        <f>CONCATENATE(Данные!D72,"/",Данные!E72)</f>
        <v>/</v>
      </c>
      <c r="K83" s="151" t="s">
        <v>43</v>
      </c>
      <c r="L83" s="151" t="s">
        <v>43</v>
      </c>
      <c r="M83" s="152" t="s">
        <v>43</v>
      </c>
      <c r="N83" s="153" t="s">
        <v>43</v>
      </c>
      <c r="O83" s="154" t="s">
        <v>145</v>
      </c>
      <c r="P83" s="64">
        <f>Данные!K72</f>
        <v>0</v>
      </c>
      <c r="Q83" s="154">
        <f>Данные!H72</f>
        <v>0</v>
      </c>
      <c r="R83" s="154"/>
      <c r="S83" s="65"/>
      <c r="T83" s="65"/>
      <c r="U83" s="154">
        <f t="shared" si="2"/>
        <v>0</v>
      </c>
      <c r="V83" s="154"/>
      <c r="W83" s="65"/>
      <c r="X83" s="80"/>
    </row>
    <row r="84" spans="1:24" ht="15" customHeight="1" x14ac:dyDescent="0.25">
      <c r="A84" s="31">
        <v>72</v>
      </c>
      <c r="B84" s="172" t="str">
        <f>IF(Данные!D73="","26","01")</f>
        <v>26</v>
      </c>
      <c r="C84" s="63" t="str">
        <f>CONCATENATE("№",Данные!F73,";", TEXT(Данные!G73,"ДД.ММ.ГГГГ"))</f>
        <v>№;00.01.1900</v>
      </c>
      <c r="D84" s="115" t="s">
        <v>145</v>
      </c>
      <c r="E84" s="115" t="s">
        <v>140</v>
      </c>
      <c r="F84" s="115" t="s">
        <v>43</v>
      </c>
      <c r="G84" s="115" t="s">
        <v>43</v>
      </c>
      <c r="H84" s="115" t="s">
        <v>145</v>
      </c>
      <c r="I84" s="63">
        <f>Данные!A73</f>
        <v>0</v>
      </c>
      <c r="J84" s="111" t="str">
        <f>CONCATENATE(Данные!D73,"/",Данные!E73)</f>
        <v>/</v>
      </c>
      <c r="K84" s="151" t="s">
        <v>43</v>
      </c>
      <c r="L84" s="151" t="s">
        <v>43</v>
      </c>
      <c r="M84" s="152" t="s">
        <v>43</v>
      </c>
      <c r="N84" s="153" t="s">
        <v>43</v>
      </c>
      <c r="O84" s="154" t="s">
        <v>145</v>
      </c>
      <c r="P84" s="64">
        <f>Данные!K73</f>
        <v>0</v>
      </c>
      <c r="Q84" s="154">
        <f>Данные!H73</f>
        <v>0</v>
      </c>
      <c r="R84" s="154"/>
      <c r="S84" s="65"/>
      <c r="T84" s="65"/>
      <c r="U84" s="154">
        <f t="shared" si="2"/>
        <v>0</v>
      </c>
      <c r="V84" s="154"/>
      <c r="W84" s="65"/>
      <c r="X84" s="80"/>
    </row>
    <row r="85" spans="1:24" ht="15" customHeight="1" x14ac:dyDescent="0.25">
      <c r="A85" s="31">
        <v>73</v>
      </c>
      <c r="B85" s="172" t="str">
        <f>IF(Данные!D74="","26","01")</f>
        <v>26</v>
      </c>
      <c r="C85" s="63" t="str">
        <f>CONCATENATE("№",Данные!F74,";", TEXT(Данные!G74,"ДД.ММ.ГГГГ"))</f>
        <v>№;00.01.1900</v>
      </c>
      <c r="D85" s="115" t="s">
        <v>145</v>
      </c>
      <c r="E85" s="115" t="s">
        <v>140</v>
      </c>
      <c r="F85" s="115" t="s">
        <v>43</v>
      </c>
      <c r="G85" s="115" t="s">
        <v>43</v>
      </c>
      <c r="H85" s="115" t="s">
        <v>145</v>
      </c>
      <c r="I85" s="63">
        <f>Данные!A74</f>
        <v>0</v>
      </c>
      <c r="J85" s="111" t="str">
        <f>CONCATENATE(Данные!D74,"/",Данные!E74)</f>
        <v>/</v>
      </c>
      <c r="K85" s="151" t="s">
        <v>43</v>
      </c>
      <c r="L85" s="151" t="s">
        <v>43</v>
      </c>
      <c r="M85" s="152" t="s">
        <v>43</v>
      </c>
      <c r="N85" s="153" t="s">
        <v>43</v>
      </c>
      <c r="O85" s="154" t="s">
        <v>145</v>
      </c>
      <c r="P85" s="64">
        <f>Данные!K74</f>
        <v>0</v>
      </c>
      <c r="Q85" s="154">
        <f>Данные!H74</f>
        <v>0</v>
      </c>
      <c r="R85" s="154"/>
      <c r="S85" s="65"/>
      <c r="T85" s="65"/>
      <c r="U85" s="154">
        <f t="shared" si="2"/>
        <v>0</v>
      </c>
      <c r="V85" s="154"/>
      <c r="W85" s="65"/>
      <c r="X85" s="80"/>
    </row>
    <row r="86" spans="1:24" ht="15" customHeight="1" x14ac:dyDescent="0.25">
      <c r="A86" s="31">
        <v>74</v>
      </c>
      <c r="B86" s="172" t="str">
        <f>IF(Данные!D75="","26","01")</f>
        <v>26</v>
      </c>
      <c r="C86" s="63" t="str">
        <f>CONCATENATE("№",Данные!F75,";", TEXT(Данные!G75,"ДД.ММ.ГГГГ"))</f>
        <v>№;00.01.1900</v>
      </c>
      <c r="D86" s="115" t="s">
        <v>145</v>
      </c>
      <c r="E86" s="115" t="s">
        <v>140</v>
      </c>
      <c r="F86" s="115" t="s">
        <v>43</v>
      </c>
      <c r="G86" s="115" t="s">
        <v>43</v>
      </c>
      <c r="H86" s="115" t="s">
        <v>145</v>
      </c>
      <c r="I86" s="63">
        <f>Данные!A75</f>
        <v>0</v>
      </c>
      <c r="J86" s="111" t="str">
        <f>CONCATENATE(Данные!D75,"/",Данные!E75)</f>
        <v>/</v>
      </c>
      <c r="K86" s="151" t="s">
        <v>43</v>
      </c>
      <c r="L86" s="151" t="s">
        <v>43</v>
      </c>
      <c r="M86" s="152" t="s">
        <v>43</v>
      </c>
      <c r="N86" s="153" t="s">
        <v>43</v>
      </c>
      <c r="O86" s="154" t="s">
        <v>145</v>
      </c>
      <c r="P86" s="64">
        <f>Данные!K75</f>
        <v>0</v>
      </c>
      <c r="Q86" s="154">
        <f>Данные!H75</f>
        <v>0</v>
      </c>
      <c r="R86" s="154"/>
      <c r="S86" s="65"/>
      <c r="T86" s="65"/>
      <c r="U86" s="154">
        <f t="shared" si="2"/>
        <v>0</v>
      </c>
      <c r="V86" s="154"/>
      <c r="W86" s="65"/>
      <c r="X86" s="80"/>
    </row>
    <row r="87" spans="1:24" ht="15" customHeight="1" x14ac:dyDescent="0.25">
      <c r="A87" s="31">
        <v>75</v>
      </c>
      <c r="B87" s="172" t="str">
        <f>IF(Данные!D76="","26","01")</f>
        <v>26</v>
      </c>
      <c r="C87" s="63" t="str">
        <f>CONCATENATE("№",Данные!F76,";", TEXT(Данные!G76,"ДД.ММ.ГГГГ"))</f>
        <v>№;00.01.1900</v>
      </c>
      <c r="D87" s="115" t="s">
        <v>145</v>
      </c>
      <c r="E87" s="115" t="s">
        <v>140</v>
      </c>
      <c r="F87" s="115" t="s">
        <v>43</v>
      </c>
      <c r="G87" s="115" t="s">
        <v>43</v>
      </c>
      <c r="H87" s="115" t="s">
        <v>145</v>
      </c>
      <c r="I87" s="63">
        <f>Данные!A76</f>
        <v>0</v>
      </c>
      <c r="J87" s="111" t="str">
        <f>CONCATENATE(Данные!D76,"/",Данные!E76)</f>
        <v>/</v>
      </c>
      <c r="K87" s="151" t="s">
        <v>43</v>
      </c>
      <c r="L87" s="151" t="s">
        <v>43</v>
      </c>
      <c r="M87" s="152" t="s">
        <v>43</v>
      </c>
      <c r="N87" s="153" t="s">
        <v>43</v>
      </c>
      <c r="O87" s="154" t="s">
        <v>145</v>
      </c>
      <c r="P87" s="64">
        <f>Данные!K76</f>
        <v>0</v>
      </c>
      <c r="Q87" s="154">
        <f>Данные!H76</f>
        <v>0</v>
      </c>
      <c r="R87" s="154"/>
      <c r="S87" s="65"/>
      <c r="T87" s="65"/>
      <c r="U87" s="154">
        <f t="shared" si="2"/>
        <v>0</v>
      </c>
      <c r="V87" s="154"/>
      <c r="W87" s="65"/>
      <c r="X87" s="80"/>
    </row>
    <row r="88" spans="1:24" ht="15" customHeight="1" x14ac:dyDescent="0.25">
      <c r="A88" s="31">
        <v>76</v>
      </c>
      <c r="B88" s="172" t="str">
        <f>IF(Данные!D77="","26","01")</f>
        <v>26</v>
      </c>
      <c r="C88" s="63" t="str">
        <f>CONCATENATE("№",Данные!F77,";", TEXT(Данные!G77,"ДД.ММ.ГГГГ"))</f>
        <v>№;00.01.1900</v>
      </c>
      <c r="D88" s="115" t="s">
        <v>145</v>
      </c>
      <c r="E88" s="115" t="s">
        <v>140</v>
      </c>
      <c r="F88" s="115" t="s">
        <v>43</v>
      </c>
      <c r="G88" s="115" t="s">
        <v>43</v>
      </c>
      <c r="H88" s="115" t="s">
        <v>145</v>
      </c>
      <c r="I88" s="63">
        <f>Данные!A77</f>
        <v>0</v>
      </c>
      <c r="J88" s="111" t="str">
        <f>CONCATENATE(Данные!D77,"/",Данные!E77)</f>
        <v>/</v>
      </c>
      <c r="K88" s="151" t="s">
        <v>43</v>
      </c>
      <c r="L88" s="151" t="s">
        <v>43</v>
      </c>
      <c r="M88" s="152" t="s">
        <v>43</v>
      </c>
      <c r="N88" s="153" t="s">
        <v>43</v>
      </c>
      <c r="O88" s="154" t="s">
        <v>145</v>
      </c>
      <c r="P88" s="64">
        <f>Данные!K77</f>
        <v>0</v>
      </c>
      <c r="Q88" s="154">
        <f>Данные!H77</f>
        <v>0</v>
      </c>
      <c r="R88" s="154"/>
      <c r="S88" s="65"/>
      <c r="T88" s="65"/>
      <c r="U88" s="154">
        <f t="shared" si="2"/>
        <v>0</v>
      </c>
      <c r="V88" s="154"/>
      <c r="W88" s="65"/>
      <c r="X88" s="80"/>
    </row>
    <row r="89" spans="1:24" ht="15" customHeight="1" x14ac:dyDescent="0.25">
      <c r="A89" s="31">
        <v>77</v>
      </c>
      <c r="B89" s="172" t="str">
        <f>IF(Данные!D78="","26","01")</f>
        <v>26</v>
      </c>
      <c r="C89" s="63" t="str">
        <f>CONCATENATE("№",Данные!F78,";", TEXT(Данные!G78,"ДД.ММ.ГГГГ"))</f>
        <v>№;00.01.1900</v>
      </c>
      <c r="D89" s="115" t="s">
        <v>145</v>
      </c>
      <c r="E89" s="115" t="s">
        <v>140</v>
      </c>
      <c r="F89" s="115" t="s">
        <v>43</v>
      </c>
      <c r="G89" s="115" t="s">
        <v>43</v>
      </c>
      <c r="H89" s="115" t="s">
        <v>145</v>
      </c>
      <c r="I89" s="63">
        <f>Данные!A78</f>
        <v>0</v>
      </c>
      <c r="J89" s="111" t="str">
        <f>CONCATENATE(Данные!D78,"/",Данные!E78)</f>
        <v>/</v>
      </c>
      <c r="K89" s="151" t="s">
        <v>43</v>
      </c>
      <c r="L89" s="151" t="s">
        <v>43</v>
      </c>
      <c r="M89" s="152" t="s">
        <v>43</v>
      </c>
      <c r="N89" s="153" t="s">
        <v>43</v>
      </c>
      <c r="O89" s="154" t="s">
        <v>145</v>
      </c>
      <c r="P89" s="64">
        <f>Данные!K78</f>
        <v>0</v>
      </c>
      <c r="Q89" s="154">
        <f>Данные!H78</f>
        <v>0</v>
      </c>
      <c r="R89" s="154"/>
      <c r="S89" s="65"/>
      <c r="T89" s="65"/>
      <c r="U89" s="154">
        <f t="shared" si="2"/>
        <v>0</v>
      </c>
      <c r="V89" s="154"/>
      <c r="W89" s="65"/>
      <c r="X89" s="80"/>
    </row>
    <row r="90" spans="1:24" ht="15" customHeight="1" x14ac:dyDescent="0.25">
      <c r="A90" s="31">
        <v>78</v>
      </c>
      <c r="B90" s="172" t="str">
        <f>IF(Данные!D79="","26","01")</f>
        <v>26</v>
      </c>
      <c r="C90" s="63" t="str">
        <f>CONCATENATE("№",Данные!F79,";", TEXT(Данные!G79,"ДД.ММ.ГГГГ"))</f>
        <v>№;00.01.1900</v>
      </c>
      <c r="D90" s="115" t="s">
        <v>145</v>
      </c>
      <c r="E90" s="115" t="s">
        <v>140</v>
      </c>
      <c r="F90" s="115" t="s">
        <v>43</v>
      </c>
      <c r="G90" s="115" t="s">
        <v>43</v>
      </c>
      <c r="H90" s="115" t="s">
        <v>145</v>
      </c>
      <c r="I90" s="63">
        <f>Данные!A79</f>
        <v>0</v>
      </c>
      <c r="J90" s="111" t="str">
        <f>CONCATENATE(Данные!D79,"/",Данные!E79)</f>
        <v>/</v>
      </c>
      <c r="K90" s="151" t="s">
        <v>43</v>
      </c>
      <c r="L90" s="151" t="s">
        <v>43</v>
      </c>
      <c r="M90" s="152" t="s">
        <v>43</v>
      </c>
      <c r="N90" s="153" t="s">
        <v>43</v>
      </c>
      <c r="O90" s="154" t="s">
        <v>145</v>
      </c>
      <c r="P90" s="64">
        <f>Данные!K79</f>
        <v>0</v>
      </c>
      <c r="Q90" s="154">
        <f>Данные!H79</f>
        <v>0</v>
      </c>
      <c r="R90" s="154"/>
      <c r="S90" s="65"/>
      <c r="T90" s="65"/>
      <c r="U90" s="154">
        <f t="shared" si="2"/>
        <v>0</v>
      </c>
      <c r="V90" s="154"/>
      <c r="W90" s="65"/>
      <c r="X90" s="80"/>
    </row>
    <row r="91" spans="1:24" ht="15" customHeight="1" x14ac:dyDescent="0.25">
      <c r="A91" s="31">
        <v>79</v>
      </c>
      <c r="B91" s="172" t="str">
        <f>IF(Данные!D80="","26","01")</f>
        <v>26</v>
      </c>
      <c r="C91" s="63" t="str">
        <f>CONCATENATE("№",Данные!F80,";", TEXT(Данные!G80,"ДД.ММ.ГГГГ"))</f>
        <v>№;00.01.1900</v>
      </c>
      <c r="D91" s="115" t="s">
        <v>145</v>
      </c>
      <c r="E91" s="115" t="s">
        <v>140</v>
      </c>
      <c r="F91" s="115" t="s">
        <v>43</v>
      </c>
      <c r="G91" s="115" t="s">
        <v>43</v>
      </c>
      <c r="H91" s="115" t="s">
        <v>145</v>
      </c>
      <c r="I91" s="63">
        <f>Данные!A80</f>
        <v>0</v>
      </c>
      <c r="J91" s="111" t="str">
        <f>CONCATENATE(Данные!D80,"/",Данные!E80)</f>
        <v>/</v>
      </c>
      <c r="K91" s="151" t="s">
        <v>43</v>
      </c>
      <c r="L91" s="151" t="s">
        <v>43</v>
      </c>
      <c r="M91" s="152" t="s">
        <v>43</v>
      </c>
      <c r="N91" s="153" t="s">
        <v>43</v>
      </c>
      <c r="O91" s="154" t="s">
        <v>145</v>
      </c>
      <c r="P91" s="64">
        <f>Данные!K80</f>
        <v>0</v>
      </c>
      <c r="Q91" s="154">
        <f>Данные!H80</f>
        <v>0</v>
      </c>
      <c r="R91" s="154"/>
      <c r="S91" s="65"/>
      <c r="T91" s="65"/>
      <c r="U91" s="154">
        <f t="shared" si="2"/>
        <v>0</v>
      </c>
      <c r="V91" s="154"/>
      <c r="W91" s="65"/>
      <c r="X91" s="80"/>
    </row>
    <row r="92" spans="1:24" ht="15" customHeight="1" x14ac:dyDescent="0.25">
      <c r="A92" s="31">
        <v>80</v>
      </c>
      <c r="B92" s="172" t="str">
        <f>IF(Данные!D81="","26","01")</f>
        <v>26</v>
      </c>
      <c r="C92" s="63" t="str">
        <f>CONCATENATE("№",Данные!F81,";", TEXT(Данные!G81,"ДД.ММ.ГГГГ"))</f>
        <v>№;00.01.1900</v>
      </c>
      <c r="D92" s="115" t="s">
        <v>145</v>
      </c>
      <c r="E92" s="115" t="s">
        <v>140</v>
      </c>
      <c r="F92" s="115" t="s">
        <v>43</v>
      </c>
      <c r="G92" s="115" t="s">
        <v>43</v>
      </c>
      <c r="H92" s="115" t="s">
        <v>145</v>
      </c>
      <c r="I92" s="63">
        <f>Данные!A81</f>
        <v>0</v>
      </c>
      <c r="J92" s="111" t="str">
        <f>CONCATENATE(Данные!D81,"/",Данные!E81)</f>
        <v>/</v>
      </c>
      <c r="K92" s="151" t="s">
        <v>43</v>
      </c>
      <c r="L92" s="151" t="s">
        <v>43</v>
      </c>
      <c r="M92" s="152" t="s">
        <v>43</v>
      </c>
      <c r="N92" s="153" t="s">
        <v>43</v>
      </c>
      <c r="O92" s="154" t="s">
        <v>145</v>
      </c>
      <c r="P92" s="64">
        <f>Данные!K81</f>
        <v>0</v>
      </c>
      <c r="Q92" s="154">
        <f>Данные!H81</f>
        <v>0</v>
      </c>
      <c r="R92" s="154"/>
      <c r="S92" s="65"/>
      <c r="T92" s="65"/>
      <c r="U92" s="154">
        <f t="shared" si="2"/>
        <v>0</v>
      </c>
      <c r="V92" s="154"/>
      <c r="W92" s="65"/>
      <c r="X92" s="80"/>
    </row>
    <row r="93" spans="1:24" ht="15" customHeight="1" x14ac:dyDescent="0.25">
      <c r="A93" s="31">
        <v>81</v>
      </c>
      <c r="B93" s="172" t="str">
        <f>IF(Данные!D82="","26","01")</f>
        <v>26</v>
      </c>
      <c r="C93" s="63" t="str">
        <f>CONCATENATE("№",Данные!F82,";", TEXT(Данные!G82,"ДД.ММ.ГГГГ"))</f>
        <v>№;00.01.1900</v>
      </c>
      <c r="D93" s="115" t="s">
        <v>145</v>
      </c>
      <c r="E93" s="115" t="s">
        <v>140</v>
      </c>
      <c r="F93" s="115" t="s">
        <v>43</v>
      </c>
      <c r="G93" s="115" t="s">
        <v>43</v>
      </c>
      <c r="H93" s="115" t="s">
        <v>145</v>
      </c>
      <c r="I93" s="63">
        <f>Данные!A82</f>
        <v>0</v>
      </c>
      <c r="J93" s="111" t="str">
        <f>CONCATENATE(Данные!D82,"/",Данные!E82)</f>
        <v>/</v>
      </c>
      <c r="K93" s="151" t="s">
        <v>43</v>
      </c>
      <c r="L93" s="151" t="s">
        <v>43</v>
      </c>
      <c r="M93" s="152" t="s">
        <v>43</v>
      </c>
      <c r="N93" s="153" t="s">
        <v>43</v>
      </c>
      <c r="O93" s="154" t="s">
        <v>145</v>
      </c>
      <c r="P93" s="64">
        <f>Данные!K82</f>
        <v>0</v>
      </c>
      <c r="Q93" s="154">
        <f>Данные!H82</f>
        <v>0</v>
      </c>
      <c r="R93" s="154"/>
      <c r="S93" s="65"/>
      <c r="T93" s="65"/>
      <c r="U93" s="154">
        <f t="shared" si="2"/>
        <v>0</v>
      </c>
      <c r="V93" s="154"/>
      <c r="W93" s="65"/>
      <c r="X93" s="80"/>
    </row>
    <row r="94" spans="1:24" ht="15" customHeight="1" x14ac:dyDescent="0.25">
      <c r="A94" s="31">
        <v>82</v>
      </c>
      <c r="B94" s="172" t="str">
        <f>IF(Данные!D83="","26","01")</f>
        <v>26</v>
      </c>
      <c r="C94" s="63" t="str">
        <f>CONCATENATE("№",Данные!F83,";", TEXT(Данные!G83,"ДД.ММ.ГГГГ"))</f>
        <v>№;00.01.1900</v>
      </c>
      <c r="D94" s="115" t="s">
        <v>145</v>
      </c>
      <c r="E94" s="115" t="s">
        <v>140</v>
      </c>
      <c r="F94" s="115" t="s">
        <v>43</v>
      </c>
      <c r="G94" s="115" t="s">
        <v>43</v>
      </c>
      <c r="H94" s="115" t="s">
        <v>145</v>
      </c>
      <c r="I94" s="63">
        <f>Данные!A83</f>
        <v>0</v>
      </c>
      <c r="J94" s="111" t="str">
        <f>CONCATENATE(Данные!D83,"/",Данные!E83)</f>
        <v>/</v>
      </c>
      <c r="K94" s="151" t="s">
        <v>43</v>
      </c>
      <c r="L94" s="151" t="s">
        <v>43</v>
      </c>
      <c r="M94" s="152" t="s">
        <v>43</v>
      </c>
      <c r="N94" s="153" t="s">
        <v>43</v>
      </c>
      <c r="O94" s="154" t="s">
        <v>145</v>
      </c>
      <c r="P94" s="64">
        <f>Данные!K83</f>
        <v>0</v>
      </c>
      <c r="Q94" s="154">
        <f>Данные!H83</f>
        <v>0</v>
      </c>
      <c r="R94" s="154"/>
      <c r="S94" s="65"/>
      <c r="T94" s="65"/>
      <c r="U94" s="154">
        <f t="shared" si="2"/>
        <v>0</v>
      </c>
      <c r="V94" s="154"/>
      <c r="W94" s="65"/>
      <c r="X94" s="80"/>
    </row>
    <row r="95" spans="1:24" ht="15" customHeight="1" x14ac:dyDescent="0.25">
      <c r="A95" s="31">
        <v>83</v>
      </c>
      <c r="B95" s="172" t="str">
        <f>IF(Данные!D84="","26","01")</f>
        <v>26</v>
      </c>
      <c r="C95" s="63" t="str">
        <f>CONCATENATE("№",Данные!F84,";", TEXT(Данные!G84,"ДД.ММ.ГГГГ"))</f>
        <v>№;00.01.1900</v>
      </c>
      <c r="D95" s="115" t="s">
        <v>145</v>
      </c>
      <c r="E95" s="115" t="s">
        <v>140</v>
      </c>
      <c r="F95" s="115" t="s">
        <v>43</v>
      </c>
      <c r="G95" s="115" t="s">
        <v>43</v>
      </c>
      <c r="H95" s="115" t="s">
        <v>145</v>
      </c>
      <c r="I95" s="63">
        <f>Данные!A84</f>
        <v>0</v>
      </c>
      <c r="J95" s="111" t="str">
        <f>CONCATENATE(Данные!D84,"/",Данные!E84)</f>
        <v>/</v>
      </c>
      <c r="K95" s="151" t="s">
        <v>43</v>
      </c>
      <c r="L95" s="151" t="s">
        <v>43</v>
      </c>
      <c r="M95" s="152" t="s">
        <v>43</v>
      </c>
      <c r="N95" s="153" t="s">
        <v>43</v>
      </c>
      <c r="O95" s="154" t="s">
        <v>145</v>
      </c>
      <c r="P95" s="64">
        <f>Данные!K84</f>
        <v>0</v>
      </c>
      <c r="Q95" s="154">
        <f>Данные!H84</f>
        <v>0</v>
      </c>
      <c r="R95" s="154"/>
      <c r="S95" s="65"/>
      <c r="T95" s="65"/>
      <c r="U95" s="154">
        <f t="shared" si="2"/>
        <v>0</v>
      </c>
      <c r="V95" s="154"/>
      <c r="W95" s="65"/>
      <c r="X95" s="80"/>
    </row>
    <row r="96" spans="1:24" ht="15" customHeight="1" x14ac:dyDescent="0.25">
      <c r="A96" s="31">
        <v>84</v>
      </c>
      <c r="B96" s="172" t="str">
        <f>IF(Данные!D85="","26","01")</f>
        <v>26</v>
      </c>
      <c r="C96" s="63" t="str">
        <f>CONCATENATE("№",Данные!F85,";", TEXT(Данные!G85,"ДД.ММ.ГГГГ"))</f>
        <v>№;00.01.1900</v>
      </c>
      <c r="D96" s="115" t="s">
        <v>145</v>
      </c>
      <c r="E96" s="115" t="s">
        <v>140</v>
      </c>
      <c r="F96" s="115" t="s">
        <v>43</v>
      </c>
      <c r="G96" s="115" t="s">
        <v>43</v>
      </c>
      <c r="H96" s="115" t="s">
        <v>145</v>
      </c>
      <c r="I96" s="63">
        <f>Данные!A85</f>
        <v>0</v>
      </c>
      <c r="J96" s="111" t="str">
        <f>CONCATENATE(Данные!D85,"/",Данные!E85)</f>
        <v>/</v>
      </c>
      <c r="K96" s="151" t="s">
        <v>43</v>
      </c>
      <c r="L96" s="151" t="s">
        <v>43</v>
      </c>
      <c r="M96" s="152" t="s">
        <v>43</v>
      </c>
      <c r="N96" s="153" t="s">
        <v>43</v>
      </c>
      <c r="O96" s="154" t="s">
        <v>145</v>
      </c>
      <c r="P96" s="64">
        <f>Данные!K85</f>
        <v>0</v>
      </c>
      <c r="Q96" s="154">
        <f>Данные!H85</f>
        <v>0</v>
      </c>
      <c r="R96" s="154"/>
      <c r="S96" s="65"/>
      <c r="T96" s="65"/>
      <c r="U96" s="154">
        <f t="shared" si="2"/>
        <v>0</v>
      </c>
      <c r="V96" s="154"/>
      <c r="W96" s="65"/>
      <c r="X96" s="80"/>
    </row>
    <row r="97" spans="1:24" ht="15" customHeight="1" x14ac:dyDescent="0.25">
      <c r="A97" s="31">
        <v>85</v>
      </c>
      <c r="B97" s="172" t="str">
        <f>IF(Данные!D86="","26","01")</f>
        <v>26</v>
      </c>
      <c r="C97" s="63" t="str">
        <f>CONCATENATE("№",Данные!F86,";", TEXT(Данные!G86,"ДД.ММ.ГГГГ"))</f>
        <v>№;00.01.1900</v>
      </c>
      <c r="D97" s="115" t="s">
        <v>145</v>
      </c>
      <c r="E97" s="115" t="s">
        <v>140</v>
      </c>
      <c r="F97" s="115" t="s">
        <v>43</v>
      </c>
      <c r="G97" s="115" t="s">
        <v>43</v>
      </c>
      <c r="H97" s="115" t="s">
        <v>145</v>
      </c>
      <c r="I97" s="63">
        <f>Данные!A86</f>
        <v>0</v>
      </c>
      <c r="J97" s="111" t="str">
        <f>CONCATENATE(Данные!D86,"/",Данные!E86)</f>
        <v>/</v>
      </c>
      <c r="K97" s="151" t="s">
        <v>43</v>
      </c>
      <c r="L97" s="151" t="s">
        <v>43</v>
      </c>
      <c r="M97" s="152" t="s">
        <v>43</v>
      </c>
      <c r="N97" s="153" t="s">
        <v>43</v>
      </c>
      <c r="O97" s="154" t="s">
        <v>145</v>
      </c>
      <c r="P97" s="64">
        <f>Данные!K86</f>
        <v>0</v>
      </c>
      <c r="Q97" s="154">
        <f>Данные!H86</f>
        <v>0</v>
      </c>
      <c r="R97" s="154"/>
      <c r="S97" s="65"/>
      <c r="T97" s="65"/>
      <c r="U97" s="154">
        <f t="shared" si="2"/>
        <v>0</v>
      </c>
      <c r="V97" s="154"/>
      <c r="W97" s="65"/>
      <c r="X97" s="80"/>
    </row>
    <row r="98" spans="1:24" ht="15" customHeight="1" x14ac:dyDescent="0.25">
      <c r="A98" s="31">
        <v>86</v>
      </c>
      <c r="B98" s="172" t="str">
        <f>IF(Данные!D87="","26","01")</f>
        <v>26</v>
      </c>
      <c r="C98" s="63" t="str">
        <f>CONCATENATE("№",Данные!F87,";", TEXT(Данные!G87,"ДД.ММ.ГГГГ"))</f>
        <v>№;00.01.1900</v>
      </c>
      <c r="D98" s="115" t="s">
        <v>145</v>
      </c>
      <c r="E98" s="115" t="s">
        <v>140</v>
      </c>
      <c r="F98" s="115" t="s">
        <v>43</v>
      </c>
      <c r="G98" s="115" t="s">
        <v>43</v>
      </c>
      <c r="H98" s="115" t="s">
        <v>145</v>
      </c>
      <c r="I98" s="63">
        <f>Данные!A87</f>
        <v>0</v>
      </c>
      <c r="J98" s="111" t="str">
        <f>CONCATENATE(Данные!D87,"/",Данные!E87)</f>
        <v>/</v>
      </c>
      <c r="K98" s="151" t="s">
        <v>43</v>
      </c>
      <c r="L98" s="151" t="s">
        <v>43</v>
      </c>
      <c r="M98" s="152" t="s">
        <v>43</v>
      </c>
      <c r="N98" s="153" t="s">
        <v>43</v>
      </c>
      <c r="O98" s="154" t="s">
        <v>145</v>
      </c>
      <c r="P98" s="64">
        <f>Данные!K87</f>
        <v>0</v>
      </c>
      <c r="Q98" s="154">
        <f>Данные!H87</f>
        <v>0</v>
      </c>
      <c r="R98" s="154"/>
      <c r="S98" s="65"/>
      <c r="T98" s="65"/>
      <c r="U98" s="154">
        <f t="shared" si="2"/>
        <v>0</v>
      </c>
      <c r="V98" s="154"/>
      <c r="W98" s="65"/>
      <c r="X98" s="80"/>
    </row>
    <row r="99" spans="1:24" ht="15" customHeight="1" x14ac:dyDescent="0.25">
      <c r="A99" s="31">
        <v>87</v>
      </c>
      <c r="B99" s="172" t="str">
        <f>IF(Данные!D88="","26","01")</f>
        <v>26</v>
      </c>
      <c r="C99" s="63" t="str">
        <f>CONCATENATE("№",Данные!F88,";", TEXT(Данные!G88,"ДД.ММ.ГГГГ"))</f>
        <v>№;00.01.1900</v>
      </c>
      <c r="D99" s="115" t="s">
        <v>145</v>
      </c>
      <c r="E99" s="115" t="s">
        <v>140</v>
      </c>
      <c r="F99" s="115" t="s">
        <v>43</v>
      </c>
      <c r="G99" s="115" t="s">
        <v>43</v>
      </c>
      <c r="H99" s="115" t="s">
        <v>145</v>
      </c>
      <c r="I99" s="63">
        <f>Данные!A88</f>
        <v>0</v>
      </c>
      <c r="J99" s="111" t="str">
        <f>CONCATENATE(Данные!D88,"/",Данные!E88)</f>
        <v>/</v>
      </c>
      <c r="K99" s="151" t="s">
        <v>43</v>
      </c>
      <c r="L99" s="151" t="s">
        <v>43</v>
      </c>
      <c r="M99" s="152" t="s">
        <v>43</v>
      </c>
      <c r="N99" s="153" t="s">
        <v>43</v>
      </c>
      <c r="O99" s="154" t="s">
        <v>145</v>
      </c>
      <c r="P99" s="64">
        <f>Данные!K88</f>
        <v>0</v>
      </c>
      <c r="Q99" s="154">
        <f>Данные!H88</f>
        <v>0</v>
      </c>
      <c r="R99" s="154"/>
      <c r="S99" s="65"/>
      <c r="T99" s="65"/>
      <c r="U99" s="154">
        <f t="shared" si="2"/>
        <v>0</v>
      </c>
      <c r="V99" s="154"/>
      <c r="W99" s="65"/>
      <c r="X99" s="80"/>
    </row>
    <row r="100" spans="1:24" ht="15" customHeight="1" x14ac:dyDescent="0.25">
      <c r="A100" s="31">
        <v>88</v>
      </c>
      <c r="B100" s="172" t="str">
        <f>IF(Данные!D89="","26","01")</f>
        <v>26</v>
      </c>
      <c r="C100" s="63" t="str">
        <f>CONCATENATE("№",Данные!F89,";", TEXT(Данные!G89,"ДД.ММ.ГГГГ"))</f>
        <v>№;00.01.1900</v>
      </c>
      <c r="D100" s="115" t="s">
        <v>145</v>
      </c>
      <c r="E100" s="115" t="s">
        <v>140</v>
      </c>
      <c r="F100" s="115" t="s">
        <v>43</v>
      </c>
      <c r="G100" s="115" t="s">
        <v>43</v>
      </c>
      <c r="H100" s="115" t="s">
        <v>145</v>
      </c>
      <c r="I100" s="63">
        <f>Данные!A89</f>
        <v>0</v>
      </c>
      <c r="J100" s="111" t="str">
        <f>CONCATENATE(Данные!D89,"/",Данные!E89)</f>
        <v>/</v>
      </c>
      <c r="K100" s="151" t="s">
        <v>43</v>
      </c>
      <c r="L100" s="151" t="s">
        <v>43</v>
      </c>
      <c r="M100" s="152" t="s">
        <v>43</v>
      </c>
      <c r="N100" s="153" t="s">
        <v>43</v>
      </c>
      <c r="O100" s="154" t="s">
        <v>145</v>
      </c>
      <c r="P100" s="64">
        <f>Данные!K89</f>
        <v>0</v>
      </c>
      <c r="Q100" s="154">
        <f>Данные!H89</f>
        <v>0</v>
      </c>
      <c r="R100" s="154"/>
      <c r="S100" s="65"/>
      <c r="T100" s="65"/>
      <c r="U100" s="154">
        <f t="shared" si="2"/>
        <v>0</v>
      </c>
      <c r="V100" s="154"/>
      <c r="W100" s="65"/>
      <c r="X100" s="80"/>
    </row>
    <row r="101" spans="1:24" ht="15" customHeight="1" x14ac:dyDescent="0.25">
      <c r="A101" s="31">
        <v>89</v>
      </c>
      <c r="B101" s="172" t="str">
        <f>IF(Данные!D90="","26","01")</f>
        <v>26</v>
      </c>
      <c r="C101" s="63" t="str">
        <f>CONCATENATE("№",Данные!F90,";", TEXT(Данные!G90,"ДД.ММ.ГГГГ"))</f>
        <v>№;00.01.1900</v>
      </c>
      <c r="D101" s="115" t="s">
        <v>145</v>
      </c>
      <c r="E101" s="115" t="s">
        <v>140</v>
      </c>
      <c r="F101" s="115" t="s">
        <v>43</v>
      </c>
      <c r="G101" s="115" t="s">
        <v>43</v>
      </c>
      <c r="H101" s="115" t="s">
        <v>145</v>
      </c>
      <c r="I101" s="63">
        <f>Данные!A90</f>
        <v>0</v>
      </c>
      <c r="J101" s="111" t="str">
        <f>CONCATENATE(Данные!D90,"/",Данные!E90)</f>
        <v>/</v>
      </c>
      <c r="K101" s="151" t="s">
        <v>43</v>
      </c>
      <c r="L101" s="151" t="s">
        <v>43</v>
      </c>
      <c r="M101" s="152" t="s">
        <v>43</v>
      </c>
      <c r="N101" s="153" t="s">
        <v>43</v>
      </c>
      <c r="O101" s="154" t="s">
        <v>145</v>
      </c>
      <c r="P101" s="64">
        <f>Данные!K90</f>
        <v>0</v>
      </c>
      <c r="Q101" s="154">
        <f>Данные!H90</f>
        <v>0</v>
      </c>
      <c r="R101" s="154"/>
      <c r="S101" s="65"/>
      <c r="T101" s="65"/>
      <c r="U101" s="154">
        <f t="shared" si="2"/>
        <v>0</v>
      </c>
      <c r="V101" s="154"/>
      <c r="W101" s="65"/>
      <c r="X101" s="80"/>
    </row>
    <row r="102" spans="1:24" ht="15" customHeight="1" x14ac:dyDescent="0.25">
      <c r="A102" s="31">
        <v>90</v>
      </c>
      <c r="B102" s="172" t="str">
        <f>IF(Данные!D91="","26","01")</f>
        <v>26</v>
      </c>
      <c r="C102" s="63" t="str">
        <f>CONCATENATE("№",Данные!F91,";", TEXT(Данные!G91,"ДД.ММ.ГГГГ"))</f>
        <v>№;00.01.1900</v>
      </c>
      <c r="D102" s="115" t="s">
        <v>145</v>
      </c>
      <c r="E102" s="115" t="s">
        <v>140</v>
      </c>
      <c r="F102" s="115" t="s">
        <v>43</v>
      </c>
      <c r="G102" s="115" t="s">
        <v>43</v>
      </c>
      <c r="H102" s="115" t="s">
        <v>145</v>
      </c>
      <c r="I102" s="63">
        <f>Данные!A91</f>
        <v>0</v>
      </c>
      <c r="J102" s="111" t="str">
        <f>CONCATENATE(Данные!D91,"/",Данные!E91)</f>
        <v>/</v>
      </c>
      <c r="K102" s="151" t="s">
        <v>43</v>
      </c>
      <c r="L102" s="151" t="s">
        <v>43</v>
      </c>
      <c r="M102" s="152" t="s">
        <v>43</v>
      </c>
      <c r="N102" s="153" t="s">
        <v>43</v>
      </c>
      <c r="O102" s="154" t="s">
        <v>145</v>
      </c>
      <c r="P102" s="64">
        <f>Данные!K91</f>
        <v>0</v>
      </c>
      <c r="Q102" s="154">
        <f>Данные!H91</f>
        <v>0</v>
      </c>
      <c r="R102" s="154"/>
      <c r="S102" s="65"/>
      <c r="T102" s="65"/>
      <c r="U102" s="154">
        <f t="shared" si="2"/>
        <v>0</v>
      </c>
      <c r="V102" s="154"/>
      <c r="W102" s="65"/>
      <c r="X102" s="80"/>
    </row>
    <row r="103" spans="1:24" ht="15" customHeight="1" x14ac:dyDescent="0.25">
      <c r="A103" s="31">
        <v>91</v>
      </c>
      <c r="B103" s="172" t="str">
        <f>IF(Данные!D92="","26","01")</f>
        <v>26</v>
      </c>
      <c r="C103" s="63" t="str">
        <f>CONCATENATE("№",Данные!F92,";", TEXT(Данные!G92,"ДД.ММ.ГГГГ"))</f>
        <v>№;00.01.1900</v>
      </c>
      <c r="D103" s="115" t="s">
        <v>145</v>
      </c>
      <c r="E103" s="115" t="s">
        <v>140</v>
      </c>
      <c r="F103" s="115" t="s">
        <v>43</v>
      </c>
      <c r="G103" s="115" t="s">
        <v>43</v>
      </c>
      <c r="H103" s="115" t="s">
        <v>145</v>
      </c>
      <c r="I103" s="63">
        <f>Данные!A92</f>
        <v>0</v>
      </c>
      <c r="J103" s="111" t="str">
        <f>CONCATENATE(Данные!D92,"/",Данные!E92)</f>
        <v>/</v>
      </c>
      <c r="K103" s="151" t="s">
        <v>43</v>
      </c>
      <c r="L103" s="151" t="s">
        <v>43</v>
      </c>
      <c r="M103" s="152" t="s">
        <v>43</v>
      </c>
      <c r="N103" s="153" t="s">
        <v>43</v>
      </c>
      <c r="O103" s="154" t="s">
        <v>145</v>
      </c>
      <c r="P103" s="64">
        <f>Данные!K92</f>
        <v>0</v>
      </c>
      <c r="Q103" s="154">
        <f>Данные!H92</f>
        <v>0</v>
      </c>
      <c r="R103" s="154"/>
      <c r="S103" s="65"/>
      <c r="T103" s="65"/>
      <c r="U103" s="154">
        <f t="shared" si="2"/>
        <v>0</v>
      </c>
      <c r="V103" s="154"/>
      <c r="W103" s="65"/>
      <c r="X103" s="80"/>
    </row>
    <row r="104" spans="1:24" ht="15" customHeight="1" x14ac:dyDescent="0.25">
      <c r="A104" s="31">
        <v>92</v>
      </c>
      <c r="B104" s="172" t="str">
        <f>IF(Данные!D93="","26","01")</f>
        <v>26</v>
      </c>
      <c r="C104" s="63" t="str">
        <f>CONCATENATE("№",Данные!F93,";", TEXT(Данные!G93,"ДД.ММ.ГГГГ"))</f>
        <v>№;00.01.1900</v>
      </c>
      <c r="D104" s="115" t="s">
        <v>145</v>
      </c>
      <c r="E104" s="115" t="s">
        <v>140</v>
      </c>
      <c r="F104" s="115" t="s">
        <v>43</v>
      </c>
      <c r="G104" s="115" t="s">
        <v>43</v>
      </c>
      <c r="H104" s="115" t="s">
        <v>145</v>
      </c>
      <c r="I104" s="63">
        <f>Данные!A93</f>
        <v>0</v>
      </c>
      <c r="J104" s="111" t="str">
        <f>CONCATENATE(Данные!D93,"/",Данные!E93)</f>
        <v>/</v>
      </c>
      <c r="K104" s="151" t="s">
        <v>43</v>
      </c>
      <c r="L104" s="151" t="s">
        <v>43</v>
      </c>
      <c r="M104" s="152" t="s">
        <v>43</v>
      </c>
      <c r="N104" s="153" t="s">
        <v>43</v>
      </c>
      <c r="O104" s="154" t="s">
        <v>145</v>
      </c>
      <c r="P104" s="64">
        <f>Данные!K93</f>
        <v>0</v>
      </c>
      <c r="Q104" s="154">
        <f>Данные!H93</f>
        <v>0</v>
      </c>
      <c r="R104" s="154"/>
      <c r="S104" s="65"/>
      <c r="T104" s="65"/>
      <c r="U104" s="154">
        <f t="shared" si="2"/>
        <v>0</v>
      </c>
      <c r="V104" s="154"/>
      <c r="W104" s="65"/>
      <c r="X104" s="80"/>
    </row>
    <row r="105" spans="1:24" ht="15" customHeight="1" x14ac:dyDescent="0.25">
      <c r="A105" s="31">
        <v>93</v>
      </c>
      <c r="B105" s="172" t="str">
        <f>IF(Данные!D94="","26","01")</f>
        <v>26</v>
      </c>
      <c r="C105" s="63" t="str">
        <f>CONCATENATE("№",Данные!F94,";", TEXT(Данные!G94,"ДД.ММ.ГГГГ"))</f>
        <v>№;00.01.1900</v>
      </c>
      <c r="D105" s="115" t="s">
        <v>145</v>
      </c>
      <c r="E105" s="115" t="s">
        <v>140</v>
      </c>
      <c r="F105" s="115" t="s">
        <v>43</v>
      </c>
      <c r="G105" s="115" t="s">
        <v>43</v>
      </c>
      <c r="H105" s="115" t="s">
        <v>145</v>
      </c>
      <c r="I105" s="63">
        <f>Данные!A94</f>
        <v>0</v>
      </c>
      <c r="J105" s="111" t="str">
        <f>CONCATENATE(Данные!D94,"/",Данные!E94)</f>
        <v>/</v>
      </c>
      <c r="K105" s="151" t="s">
        <v>43</v>
      </c>
      <c r="L105" s="151" t="s">
        <v>43</v>
      </c>
      <c r="M105" s="152" t="s">
        <v>43</v>
      </c>
      <c r="N105" s="153" t="s">
        <v>43</v>
      </c>
      <c r="O105" s="154" t="s">
        <v>145</v>
      </c>
      <c r="P105" s="64">
        <f>Данные!K94</f>
        <v>0</v>
      </c>
      <c r="Q105" s="154">
        <f>Данные!H94</f>
        <v>0</v>
      </c>
      <c r="R105" s="154"/>
      <c r="S105" s="65"/>
      <c r="T105" s="65"/>
      <c r="U105" s="154">
        <f t="shared" si="2"/>
        <v>0</v>
      </c>
      <c r="V105" s="154"/>
      <c r="W105" s="65"/>
      <c r="X105" s="80"/>
    </row>
    <row r="106" spans="1:24" ht="15" customHeight="1" x14ac:dyDescent="0.25">
      <c r="A106" s="31">
        <v>94</v>
      </c>
      <c r="B106" s="172" t="str">
        <f>IF(Данные!D95="","26","01")</f>
        <v>26</v>
      </c>
      <c r="C106" s="63" t="str">
        <f>CONCATENATE("№",Данные!F95,";", TEXT(Данные!G95,"ДД.ММ.ГГГГ"))</f>
        <v>№;00.01.1900</v>
      </c>
      <c r="D106" s="115" t="s">
        <v>145</v>
      </c>
      <c r="E106" s="115" t="s">
        <v>140</v>
      </c>
      <c r="F106" s="115" t="s">
        <v>43</v>
      </c>
      <c r="G106" s="115" t="s">
        <v>43</v>
      </c>
      <c r="H106" s="115" t="s">
        <v>145</v>
      </c>
      <c r="I106" s="63">
        <f>Данные!A95</f>
        <v>0</v>
      </c>
      <c r="J106" s="111" t="str">
        <f>CONCATENATE(Данные!D95,"/",Данные!E95)</f>
        <v>/</v>
      </c>
      <c r="K106" s="151" t="s">
        <v>43</v>
      </c>
      <c r="L106" s="151" t="s">
        <v>43</v>
      </c>
      <c r="M106" s="152" t="s">
        <v>43</v>
      </c>
      <c r="N106" s="153" t="s">
        <v>43</v>
      </c>
      <c r="O106" s="154" t="s">
        <v>145</v>
      </c>
      <c r="P106" s="64">
        <f>Данные!K95</f>
        <v>0</v>
      </c>
      <c r="Q106" s="154">
        <f>Данные!H95</f>
        <v>0</v>
      </c>
      <c r="R106" s="154"/>
      <c r="S106" s="65"/>
      <c r="T106" s="65"/>
      <c r="U106" s="154">
        <f t="shared" si="2"/>
        <v>0</v>
      </c>
      <c r="V106" s="154"/>
      <c r="W106" s="65"/>
      <c r="X106" s="80"/>
    </row>
    <row r="107" spans="1:24" ht="15" customHeight="1" x14ac:dyDescent="0.25">
      <c r="A107" s="31">
        <v>95</v>
      </c>
      <c r="B107" s="172" t="str">
        <f>IF(Данные!D96="","26","01")</f>
        <v>26</v>
      </c>
      <c r="C107" s="63" t="str">
        <f>CONCATENATE("№",Данные!F96,";", TEXT(Данные!G96,"ДД.ММ.ГГГГ"))</f>
        <v>№;00.01.1900</v>
      </c>
      <c r="D107" s="115" t="s">
        <v>145</v>
      </c>
      <c r="E107" s="115" t="s">
        <v>140</v>
      </c>
      <c r="F107" s="115" t="s">
        <v>43</v>
      </c>
      <c r="G107" s="115" t="s">
        <v>43</v>
      </c>
      <c r="H107" s="115" t="s">
        <v>145</v>
      </c>
      <c r="I107" s="63">
        <f>Данные!A96</f>
        <v>0</v>
      </c>
      <c r="J107" s="111" t="str">
        <f>CONCATENATE(Данные!D96,"/",Данные!E96)</f>
        <v>/</v>
      </c>
      <c r="K107" s="151" t="s">
        <v>43</v>
      </c>
      <c r="L107" s="151" t="s">
        <v>43</v>
      </c>
      <c r="M107" s="152" t="s">
        <v>43</v>
      </c>
      <c r="N107" s="153" t="s">
        <v>43</v>
      </c>
      <c r="O107" s="154" t="s">
        <v>145</v>
      </c>
      <c r="P107" s="64">
        <f>Данные!K96</f>
        <v>0</v>
      </c>
      <c r="Q107" s="154">
        <f>Данные!H96</f>
        <v>0</v>
      </c>
      <c r="R107" s="154"/>
      <c r="S107" s="65"/>
      <c r="T107" s="65"/>
      <c r="U107" s="154">
        <f t="shared" si="2"/>
        <v>0</v>
      </c>
      <c r="V107" s="154"/>
      <c r="W107" s="65"/>
      <c r="X107" s="80"/>
    </row>
    <row r="108" spans="1:24" ht="15" customHeight="1" x14ac:dyDescent="0.25">
      <c r="A108" s="31">
        <v>96</v>
      </c>
      <c r="B108" s="172" t="str">
        <f>IF(Данные!D97="","26","01")</f>
        <v>26</v>
      </c>
      <c r="C108" s="63" t="str">
        <f>CONCATENATE("№",Данные!F97,";", TEXT(Данные!G97,"ДД.ММ.ГГГГ"))</f>
        <v>№;00.01.1900</v>
      </c>
      <c r="D108" s="115" t="s">
        <v>145</v>
      </c>
      <c r="E108" s="115" t="s">
        <v>140</v>
      </c>
      <c r="F108" s="115" t="s">
        <v>43</v>
      </c>
      <c r="G108" s="115" t="s">
        <v>43</v>
      </c>
      <c r="H108" s="115" t="s">
        <v>145</v>
      </c>
      <c r="I108" s="63">
        <f>Данные!A97</f>
        <v>0</v>
      </c>
      <c r="J108" s="111" t="str">
        <f>CONCATENATE(Данные!D97,"/",Данные!E97)</f>
        <v>/</v>
      </c>
      <c r="K108" s="151" t="s">
        <v>43</v>
      </c>
      <c r="L108" s="151" t="s">
        <v>43</v>
      </c>
      <c r="M108" s="152" t="s">
        <v>43</v>
      </c>
      <c r="N108" s="153" t="s">
        <v>43</v>
      </c>
      <c r="O108" s="154" t="s">
        <v>145</v>
      </c>
      <c r="P108" s="64">
        <f>Данные!K97</f>
        <v>0</v>
      </c>
      <c r="Q108" s="154">
        <f>Данные!H97</f>
        <v>0</v>
      </c>
      <c r="R108" s="154"/>
      <c r="S108" s="65"/>
      <c r="T108" s="65"/>
      <c r="U108" s="154">
        <f t="shared" si="2"/>
        <v>0</v>
      </c>
      <c r="V108" s="154"/>
      <c r="W108" s="65"/>
      <c r="X108" s="80"/>
    </row>
    <row r="109" spans="1:24" ht="15" customHeight="1" x14ac:dyDescent="0.25">
      <c r="A109" s="31">
        <v>97</v>
      </c>
      <c r="B109" s="172" t="str">
        <f>IF(Данные!D98="","26","01")</f>
        <v>26</v>
      </c>
      <c r="C109" s="63" t="str">
        <f>CONCATENATE("№",Данные!F98,";", TEXT(Данные!G98,"ДД.ММ.ГГГГ"))</f>
        <v>№;00.01.1900</v>
      </c>
      <c r="D109" s="115" t="s">
        <v>145</v>
      </c>
      <c r="E109" s="115" t="s">
        <v>140</v>
      </c>
      <c r="F109" s="115" t="s">
        <v>43</v>
      </c>
      <c r="G109" s="115" t="s">
        <v>43</v>
      </c>
      <c r="H109" s="115" t="s">
        <v>145</v>
      </c>
      <c r="I109" s="63">
        <f>Данные!A98</f>
        <v>0</v>
      </c>
      <c r="J109" s="111" t="str">
        <f>CONCATENATE(Данные!D98,"/",Данные!E98)</f>
        <v>/</v>
      </c>
      <c r="K109" s="151" t="s">
        <v>43</v>
      </c>
      <c r="L109" s="151" t="s">
        <v>43</v>
      </c>
      <c r="M109" s="152" t="s">
        <v>43</v>
      </c>
      <c r="N109" s="153" t="s">
        <v>43</v>
      </c>
      <c r="O109" s="154" t="s">
        <v>145</v>
      </c>
      <c r="P109" s="64">
        <f>Данные!K98</f>
        <v>0</v>
      </c>
      <c r="Q109" s="154">
        <f>Данные!H98</f>
        <v>0</v>
      </c>
      <c r="R109" s="154"/>
      <c r="S109" s="65"/>
      <c r="T109" s="65"/>
      <c r="U109" s="154">
        <f t="shared" si="2"/>
        <v>0</v>
      </c>
      <c r="V109" s="154"/>
      <c r="W109" s="65"/>
      <c r="X109" s="80"/>
    </row>
    <row r="110" spans="1:24" ht="15" customHeight="1" x14ac:dyDescent="0.25">
      <c r="A110" s="31">
        <v>98</v>
      </c>
      <c r="B110" s="172" t="str">
        <f>IF(Данные!D99="","26","01")</f>
        <v>26</v>
      </c>
      <c r="C110" s="63" t="str">
        <f>CONCATENATE("№",Данные!F99,";", TEXT(Данные!G99,"ДД.ММ.ГГГГ"))</f>
        <v>№;00.01.1900</v>
      </c>
      <c r="D110" s="115" t="s">
        <v>145</v>
      </c>
      <c r="E110" s="115" t="s">
        <v>140</v>
      </c>
      <c r="F110" s="115" t="s">
        <v>43</v>
      </c>
      <c r="G110" s="115" t="s">
        <v>43</v>
      </c>
      <c r="H110" s="115" t="s">
        <v>145</v>
      </c>
      <c r="I110" s="63">
        <f>Данные!A99</f>
        <v>0</v>
      </c>
      <c r="J110" s="111" t="str">
        <f>CONCATENATE(Данные!D99,"/",Данные!E99)</f>
        <v>/</v>
      </c>
      <c r="K110" s="151" t="s">
        <v>43</v>
      </c>
      <c r="L110" s="151" t="s">
        <v>43</v>
      </c>
      <c r="M110" s="152" t="s">
        <v>43</v>
      </c>
      <c r="N110" s="153" t="s">
        <v>43</v>
      </c>
      <c r="O110" s="154" t="s">
        <v>145</v>
      </c>
      <c r="P110" s="64">
        <f>Данные!K99</f>
        <v>0</v>
      </c>
      <c r="Q110" s="154">
        <f>Данные!H99</f>
        <v>0</v>
      </c>
      <c r="R110" s="154"/>
      <c r="S110" s="65"/>
      <c r="T110" s="65"/>
      <c r="U110" s="154">
        <f t="shared" si="2"/>
        <v>0</v>
      </c>
      <c r="V110" s="154"/>
      <c r="W110" s="65"/>
      <c r="X110" s="80"/>
    </row>
    <row r="111" spans="1:24" ht="15" customHeight="1" x14ac:dyDescent="0.25">
      <c r="A111" s="31">
        <v>99</v>
      </c>
      <c r="B111" s="172" t="str">
        <f>IF(Данные!D100="","26","01")</f>
        <v>26</v>
      </c>
      <c r="C111" s="63" t="str">
        <f>CONCATENATE("№",Данные!F100,";", TEXT(Данные!G100,"ДД.ММ.ГГГГ"))</f>
        <v>№;00.01.1900</v>
      </c>
      <c r="D111" s="115" t="s">
        <v>145</v>
      </c>
      <c r="E111" s="115" t="s">
        <v>140</v>
      </c>
      <c r="F111" s="115" t="s">
        <v>43</v>
      </c>
      <c r="G111" s="115" t="s">
        <v>43</v>
      </c>
      <c r="H111" s="115" t="s">
        <v>145</v>
      </c>
      <c r="I111" s="63">
        <f>Данные!A100</f>
        <v>0</v>
      </c>
      <c r="J111" s="111" t="str">
        <f>CONCATENATE(Данные!D100,"/",Данные!E100)</f>
        <v>/</v>
      </c>
      <c r="K111" s="151" t="s">
        <v>43</v>
      </c>
      <c r="L111" s="151" t="s">
        <v>43</v>
      </c>
      <c r="M111" s="152" t="s">
        <v>43</v>
      </c>
      <c r="N111" s="153" t="s">
        <v>43</v>
      </c>
      <c r="O111" s="154" t="s">
        <v>145</v>
      </c>
      <c r="P111" s="64">
        <f>Данные!K100</f>
        <v>0</v>
      </c>
      <c r="Q111" s="154">
        <f>Данные!H100</f>
        <v>0</v>
      </c>
      <c r="R111" s="154"/>
      <c r="S111" s="65"/>
      <c r="T111" s="65"/>
      <c r="U111" s="154">
        <f t="shared" si="2"/>
        <v>0</v>
      </c>
      <c r="V111" s="154"/>
      <c r="W111" s="65"/>
      <c r="X111" s="80"/>
    </row>
    <row r="112" spans="1:24" ht="15" customHeight="1" x14ac:dyDescent="0.25">
      <c r="A112" s="31">
        <v>100</v>
      </c>
      <c r="B112" s="172" t="str">
        <f>IF(Данные!D101="","26","01")</f>
        <v>26</v>
      </c>
      <c r="C112" s="63" t="str">
        <f>CONCATENATE("№",Данные!F3,";", TEXT(Данные!G3,"ДД.ММ.ГГГГ"))</f>
        <v>№DA000287#TTK0000201;30.09.2019</v>
      </c>
      <c r="D112" s="115" t="s">
        <v>145</v>
      </c>
      <c r="E112" s="115" t="s">
        <v>140</v>
      </c>
      <c r="F112" s="115" t="s">
        <v>43</v>
      </c>
      <c r="G112" s="115" t="s">
        <v>43</v>
      </c>
      <c r="H112" s="115" t="s">
        <v>145</v>
      </c>
      <c r="I112" s="63">
        <f>Данные!A101</f>
        <v>0</v>
      </c>
      <c r="J112" s="111" t="str">
        <f>CONCATENATE(Данные!D101,"/",Данные!E101)</f>
        <v>/</v>
      </c>
      <c r="K112" s="151" t="s">
        <v>43</v>
      </c>
      <c r="L112" s="151" t="s">
        <v>43</v>
      </c>
      <c r="M112" s="152" t="s">
        <v>43</v>
      </c>
      <c r="N112" s="153" t="s">
        <v>43</v>
      </c>
      <c r="O112" s="154" t="s">
        <v>145</v>
      </c>
      <c r="P112" s="64">
        <f>Данные!K101</f>
        <v>0</v>
      </c>
      <c r="Q112" s="154">
        <f>Данные!H101</f>
        <v>0</v>
      </c>
      <c r="R112" s="154"/>
      <c r="S112" s="65"/>
      <c r="T112" s="65"/>
      <c r="U112" s="154">
        <f t="shared" ref="U112" si="3">P112-Q112</f>
        <v>0</v>
      </c>
      <c r="V112" s="154"/>
      <c r="W112" s="12"/>
      <c r="X112" s="62"/>
    </row>
    <row r="113" spans="1:24" ht="18" customHeight="1" thickBot="1" x14ac:dyDescent="0.3">
      <c r="A113" s="187"/>
      <c r="B113" s="188"/>
      <c r="C113" s="203" t="s">
        <v>197</v>
      </c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  <c r="P113" s="199" t="s">
        <v>197</v>
      </c>
      <c r="Q113" s="189">
        <f>SUM(Q13:Q112)</f>
        <v>741.70999999999992</v>
      </c>
      <c r="R113" s="189"/>
      <c r="S113" s="190" t="s">
        <v>43</v>
      </c>
      <c r="T113" s="190" t="s">
        <v>43</v>
      </c>
      <c r="U113" s="191">
        <f>SUM(P13:P112)-Q113</f>
        <v>148.33000000000004</v>
      </c>
      <c r="V113" s="191"/>
      <c r="W113" s="190" t="s">
        <v>43</v>
      </c>
      <c r="X113" s="192" t="s">
        <v>43</v>
      </c>
    </row>
    <row r="114" spans="1:24" x14ac:dyDescent="0.25">
      <c r="C114" s="10" t="s">
        <v>114</v>
      </c>
      <c r="D114" s="10"/>
      <c r="E114" s="10"/>
      <c r="F114" s="10"/>
      <c r="G114" s="10"/>
      <c r="H114" s="10"/>
      <c r="I114" s="6"/>
      <c r="J114" s="13"/>
      <c r="K114" s="13"/>
      <c r="L114" s="13"/>
      <c r="M114" s="10" t="s">
        <v>115</v>
      </c>
      <c r="N114" s="6"/>
      <c r="O114" s="15"/>
      <c r="P114" s="174"/>
      <c r="Q114" s="174"/>
      <c r="R114" s="174"/>
      <c r="S114" s="6"/>
      <c r="T114" s="6"/>
      <c r="U114" s="6"/>
      <c r="V114" s="6"/>
      <c r="W114" s="6"/>
      <c r="X114" s="6"/>
    </row>
    <row r="115" spans="1:24" ht="10.5" customHeight="1" x14ac:dyDescent="0.25">
      <c r="C115" s="6"/>
      <c r="D115" s="6"/>
      <c r="E115" s="6"/>
      <c r="F115" s="6"/>
      <c r="G115" s="6"/>
      <c r="H115" s="6"/>
      <c r="I115" s="6"/>
      <c r="J115" s="197" t="s">
        <v>38</v>
      </c>
      <c r="K115" s="197"/>
      <c r="L115" s="197"/>
      <c r="M115" s="197" t="s">
        <v>39</v>
      </c>
      <c r="N115" s="197"/>
      <c r="O115" s="6"/>
      <c r="P115" s="174"/>
      <c r="Q115" s="174"/>
      <c r="R115" s="174"/>
      <c r="S115" s="6"/>
      <c r="T115" s="6"/>
      <c r="U115" s="6"/>
      <c r="V115" s="6"/>
      <c r="W115" s="6"/>
      <c r="X115" s="6"/>
    </row>
    <row r="116" spans="1:24" x14ac:dyDescent="0.25">
      <c r="C116" s="10" t="s">
        <v>40</v>
      </c>
      <c r="D116" s="10"/>
      <c r="E116" s="10"/>
      <c r="F116" s="10"/>
      <c r="G116" s="10"/>
      <c r="H116" s="10"/>
      <c r="I116" s="6"/>
      <c r="J116" s="15"/>
      <c r="K116" s="15"/>
      <c r="L116" s="15"/>
      <c r="M116" s="13"/>
      <c r="N116" s="6"/>
      <c r="O116" s="15"/>
      <c r="P116" s="174"/>
      <c r="Q116" s="174"/>
      <c r="R116" s="174"/>
      <c r="S116" s="6"/>
      <c r="T116" s="6"/>
      <c r="U116" s="6"/>
      <c r="V116" s="6"/>
      <c r="W116" s="6"/>
      <c r="X116" s="6"/>
    </row>
    <row r="117" spans="1:24" ht="11.25" customHeight="1" x14ac:dyDescent="0.25">
      <c r="C117" s="6" t="s">
        <v>111</v>
      </c>
      <c r="D117" s="6"/>
      <c r="E117" s="6"/>
      <c r="F117" s="6"/>
      <c r="G117" s="6"/>
      <c r="H117" s="6"/>
      <c r="I117" s="6"/>
      <c r="J117" s="197" t="s">
        <v>38</v>
      </c>
      <c r="K117" s="197"/>
      <c r="L117" s="197"/>
      <c r="M117" s="197" t="s">
        <v>39</v>
      </c>
      <c r="N117" s="197"/>
      <c r="O117" s="6"/>
      <c r="P117" s="174"/>
      <c r="Q117" s="174"/>
      <c r="R117" s="174"/>
      <c r="S117" s="6"/>
      <c r="T117" s="6"/>
      <c r="U117" s="6"/>
      <c r="V117" s="6"/>
      <c r="W117" s="6"/>
      <c r="X117" s="6"/>
    </row>
    <row r="118" spans="1:24" ht="15" customHeight="1" x14ac:dyDescent="0.25">
      <c r="C118" s="6" t="s">
        <v>41</v>
      </c>
      <c r="D118" s="198"/>
      <c r="E118" s="198"/>
      <c r="F118" s="198"/>
      <c r="G118" s="198"/>
      <c r="H118" s="198"/>
      <c r="I118" s="198"/>
      <c r="J118" s="198"/>
      <c r="K118" s="198"/>
      <c r="L118" s="198"/>
      <c r="M118" s="15"/>
      <c r="N118" s="15"/>
      <c r="O118" s="15"/>
      <c r="P118" s="174"/>
      <c r="Q118" s="174"/>
      <c r="R118" s="174"/>
      <c r="S118" s="6"/>
      <c r="T118" s="6"/>
      <c r="U118" s="6"/>
      <c r="V118" s="6"/>
      <c r="W118" s="6"/>
      <c r="X118" s="6"/>
    </row>
    <row r="119" spans="1:24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174"/>
      <c r="Q119" s="174"/>
      <c r="R119" s="174"/>
      <c r="S119" s="6"/>
      <c r="T119" s="6"/>
      <c r="U119" s="6"/>
      <c r="V119" s="6"/>
      <c r="W119" s="6"/>
      <c r="X119" s="6"/>
    </row>
    <row r="120" spans="1:24" x14ac:dyDescent="0.25">
      <c r="C120" s="16" t="s">
        <v>42</v>
      </c>
      <c r="D120" s="16"/>
      <c r="E120" s="16"/>
      <c r="F120" s="16"/>
      <c r="G120" s="16"/>
      <c r="H120" s="16"/>
      <c r="I120" s="16"/>
      <c r="J120" s="6"/>
      <c r="K120" s="6"/>
      <c r="L120" s="6"/>
      <c r="M120" s="6"/>
      <c r="N120" s="6"/>
      <c r="O120" s="6"/>
      <c r="P120" s="174"/>
      <c r="Q120" s="174"/>
      <c r="R120" s="174"/>
      <c r="S120" s="6"/>
      <c r="T120" s="6"/>
      <c r="U120" s="6"/>
      <c r="V120" s="6"/>
      <c r="W120" s="6"/>
      <c r="X120" s="6"/>
    </row>
  </sheetData>
  <mergeCells count="20">
    <mergeCell ref="M8:M11"/>
    <mergeCell ref="N8:N11"/>
    <mergeCell ref="H8:H11"/>
    <mergeCell ref="F8:F11"/>
    <mergeCell ref="G8:G11"/>
    <mergeCell ref="A8:A11"/>
    <mergeCell ref="B8:B11"/>
    <mergeCell ref="K8:L10"/>
    <mergeCell ref="O1:X1"/>
    <mergeCell ref="C7:N7"/>
    <mergeCell ref="Q7:X7"/>
    <mergeCell ref="X8:X11"/>
    <mergeCell ref="O8:P10"/>
    <mergeCell ref="Q8:T10"/>
    <mergeCell ref="U8:W10"/>
    <mergeCell ref="D8:D11"/>
    <mergeCell ref="E8:E11"/>
    <mergeCell ref="C8:C11"/>
    <mergeCell ref="I8:I11"/>
    <mergeCell ref="J8:J11"/>
  </mergeCells>
  <pageMargins left="0.70866141732283472" right="0.27559055118110237" top="0.74803149606299213" bottom="0.74803149606299213" header="0.31496062992125984" footer="0.31496062992125984"/>
  <pageSetup paperSize="9" scale="5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35"/>
  <sheetViews>
    <sheetView topLeftCell="A10" workbookViewId="0">
      <selection activeCell="D13" sqref="D13"/>
    </sheetView>
  </sheetViews>
  <sheetFormatPr defaultRowHeight="15" x14ac:dyDescent="0.25"/>
  <cols>
    <col min="4" max="4" width="8.85546875" customWidth="1"/>
    <col min="6" max="6" width="6.140625" customWidth="1"/>
    <col min="7" max="7" width="5.7109375" customWidth="1"/>
    <col min="8" max="8" width="9.28515625" customWidth="1"/>
    <col min="9" max="9" width="9.140625" customWidth="1"/>
    <col min="10" max="10" width="1.42578125" customWidth="1"/>
    <col min="11" max="11" width="0.85546875" customWidth="1"/>
    <col min="12" max="12" width="2.140625" customWidth="1"/>
    <col min="13" max="13" width="2.5703125" customWidth="1"/>
    <col min="14" max="14" width="14.28515625" customWidth="1"/>
  </cols>
  <sheetData>
    <row r="1" spans="1:14" x14ac:dyDescent="0.25">
      <c r="A1" s="263" t="s">
        <v>44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4" ht="8.25" customHeight="1" x14ac:dyDescent="0.25">
      <c r="A2" s="263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</row>
    <row r="3" spans="1:14" x14ac:dyDescent="0.25">
      <c r="A3" s="264" t="s">
        <v>45</v>
      </c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</row>
    <row r="4" spans="1:14" x14ac:dyDescent="0.25">
      <c r="A4" s="185" t="s">
        <v>195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</row>
    <row r="5" spans="1:14" x14ac:dyDescent="0.25">
      <c r="A5" s="266" t="s">
        <v>46</v>
      </c>
      <c r="B5" s="266"/>
      <c r="C5" s="266"/>
      <c r="D5" s="266"/>
      <c r="E5" s="266"/>
      <c r="F5" s="266"/>
      <c r="G5" s="266"/>
      <c r="H5" s="266"/>
      <c r="I5" s="266"/>
      <c r="J5" s="266"/>
      <c r="K5" s="266"/>
      <c r="L5" s="266"/>
      <c r="M5" s="266"/>
      <c r="N5" s="266"/>
    </row>
    <row r="6" spans="1:14" x14ac:dyDescent="0.25">
      <c r="A6" s="267" t="s">
        <v>47</v>
      </c>
      <c r="B6" s="268"/>
      <c r="C6" s="268"/>
      <c r="D6" s="268"/>
      <c r="E6" s="268"/>
      <c r="F6" s="268"/>
      <c r="G6" s="268"/>
      <c r="H6" s="269"/>
      <c r="I6" s="36"/>
      <c r="J6" s="270"/>
      <c r="K6" s="271"/>
      <c r="L6" s="271"/>
      <c r="M6" s="271"/>
      <c r="N6" s="272"/>
    </row>
    <row r="7" spans="1:14" x14ac:dyDescent="0.25">
      <c r="A7" s="39" t="s">
        <v>48</v>
      </c>
      <c r="B7" s="40"/>
      <c r="C7" s="40"/>
      <c r="D7" s="40"/>
      <c r="E7" s="40"/>
      <c r="F7" s="40"/>
      <c r="G7" s="40"/>
      <c r="H7" s="41"/>
      <c r="I7" s="83" t="s">
        <v>49</v>
      </c>
      <c r="J7" s="273" t="s">
        <v>147</v>
      </c>
      <c r="K7" s="274"/>
      <c r="L7" s="274"/>
      <c r="M7" s="274"/>
      <c r="N7" s="275"/>
    </row>
    <row r="8" spans="1:14" x14ac:dyDescent="0.25">
      <c r="A8" s="42" t="s">
        <v>50</v>
      </c>
      <c r="B8" s="37"/>
      <c r="C8" s="37"/>
      <c r="D8" s="37"/>
      <c r="E8" s="37"/>
      <c r="F8" s="37"/>
      <c r="G8" s="37"/>
      <c r="H8" s="43"/>
      <c r="I8" s="36" t="s">
        <v>51</v>
      </c>
      <c r="J8" s="42" t="s">
        <v>148</v>
      </c>
      <c r="K8" s="37"/>
      <c r="L8" s="37"/>
      <c r="M8" s="37"/>
      <c r="N8" s="43"/>
    </row>
    <row r="9" spans="1:14" x14ac:dyDescent="0.25">
      <c r="A9" s="44"/>
      <c r="B9" s="45"/>
      <c r="C9" s="45"/>
      <c r="D9" s="45"/>
      <c r="E9" s="45"/>
      <c r="F9" s="45"/>
      <c r="G9" s="45"/>
      <c r="H9" s="46"/>
      <c r="I9" s="85" t="s">
        <v>52</v>
      </c>
      <c r="J9" s="44" t="s">
        <v>53</v>
      </c>
      <c r="K9" s="45"/>
      <c r="L9" s="45"/>
      <c r="M9" s="45"/>
      <c r="N9" s="46"/>
    </row>
    <row r="10" spans="1:14" x14ac:dyDescent="0.25">
      <c r="A10" s="276" t="s">
        <v>150</v>
      </c>
      <c r="B10" s="277"/>
      <c r="C10" s="277"/>
      <c r="D10" s="277"/>
      <c r="E10" s="277"/>
      <c r="F10" s="277"/>
      <c r="G10" s="277"/>
      <c r="H10" s="278"/>
      <c r="I10" s="84" t="s">
        <v>49</v>
      </c>
      <c r="J10" s="84" t="s">
        <v>149</v>
      </c>
      <c r="K10" s="38"/>
      <c r="L10" s="38"/>
      <c r="M10" s="38"/>
      <c r="N10" s="47"/>
    </row>
    <row r="11" spans="1:14" x14ac:dyDescent="0.25">
      <c r="A11" s="279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N11" s="279"/>
    </row>
    <row r="12" spans="1:14" ht="18" x14ac:dyDescent="0.25">
      <c r="A12" s="61"/>
      <c r="B12" s="280" t="s">
        <v>54</v>
      </c>
      <c r="C12" s="280"/>
      <c r="D12" s="281">
        <f>Данные!S3</f>
        <v>90</v>
      </c>
      <c r="E12" s="282"/>
      <c r="F12" s="81" t="s">
        <v>55</v>
      </c>
      <c r="G12" s="283">
        <f>EOMONTH(Данные!G2,0)</f>
        <v>43738</v>
      </c>
      <c r="H12" s="283"/>
      <c r="I12" s="283"/>
      <c r="J12" s="48"/>
      <c r="K12" s="49"/>
      <c r="L12" s="50"/>
      <c r="M12" s="48"/>
      <c r="N12" s="61"/>
    </row>
    <row r="13" spans="1:14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</row>
    <row r="14" spans="1:14" x14ac:dyDescent="0.25">
      <c r="A14" s="286" t="s">
        <v>56</v>
      </c>
      <c r="B14" s="286"/>
      <c r="C14" s="286"/>
      <c r="D14" s="287" t="s">
        <v>172</v>
      </c>
      <c r="E14" s="287"/>
      <c r="F14" s="287"/>
      <c r="G14" s="287"/>
      <c r="H14" s="287"/>
      <c r="I14" s="287"/>
      <c r="J14" s="287"/>
      <c r="K14" s="287"/>
      <c r="L14" s="287"/>
      <c r="M14" s="287"/>
      <c r="N14" s="287"/>
    </row>
    <row r="15" spans="1:14" x14ac:dyDescent="0.25">
      <c r="A15" s="286" t="s">
        <v>57</v>
      </c>
      <c r="B15" s="286"/>
      <c r="C15" s="286"/>
      <c r="D15" s="288" t="str">
        <f>D14</f>
        <v>АО "Компания ТрансТелеком"</v>
      </c>
      <c r="E15" s="288"/>
      <c r="F15" s="288"/>
      <c r="G15" s="288"/>
      <c r="H15" s="288"/>
      <c r="I15" s="288"/>
      <c r="J15" s="288"/>
      <c r="K15" s="288"/>
      <c r="L15" s="288"/>
      <c r="M15" s="288"/>
      <c r="N15" s="288"/>
    </row>
    <row r="16" spans="1:14" ht="11.25" customHeight="1" x14ac:dyDescent="0.25">
      <c r="A16" s="289"/>
      <c r="B16" s="289"/>
      <c r="C16" s="289"/>
      <c r="D16" s="289"/>
      <c r="E16" s="289"/>
      <c r="F16" s="289"/>
      <c r="G16" s="289"/>
      <c r="H16" s="289"/>
      <c r="I16" s="289"/>
      <c r="J16" s="289"/>
      <c r="K16" s="289"/>
      <c r="L16" s="289"/>
      <c r="M16" s="289"/>
      <c r="N16" s="289"/>
    </row>
    <row r="17" spans="1:14" x14ac:dyDescent="0.25">
      <c r="A17" s="284" t="s">
        <v>58</v>
      </c>
      <c r="B17" s="284" t="s">
        <v>59</v>
      </c>
      <c r="C17" s="284"/>
      <c r="D17" s="284"/>
      <c r="E17" s="284"/>
      <c r="F17" s="285" t="s">
        <v>60</v>
      </c>
      <c r="G17" s="284" t="s">
        <v>61</v>
      </c>
      <c r="H17" s="285" t="s">
        <v>62</v>
      </c>
      <c r="I17" s="285"/>
      <c r="J17" s="285"/>
      <c r="K17" s="285"/>
      <c r="L17" s="284" t="s">
        <v>63</v>
      </c>
      <c r="M17" s="284"/>
      <c r="N17" s="284"/>
    </row>
    <row r="18" spans="1:14" x14ac:dyDescent="0.25">
      <c r="A18" s="284"/>
      <c r="B18" s="284"/>
      <c r="C18" s="284"/>
      <c r="D18" s="284"/>
      <c r="E18" s="284"/>
      <c r="F18" s="285"/>
      <c r="G18" s="284"/>
      <c r="H18" s="285"/>
      <c r="I18" s="285"/>
      <c r="J18" s="285"/>
      <c r="K18" s="285"/>
      <c r="L18" s="284"/>
      <c r="M18" s="284"/>
      <c r="N18" s="284"/>
    </row>
    <row r="19" spans="1:14" ht="42" customHeight="1" x14ac:dyDescent="0.25">
      <c r="A19" s="86">
        <v>1</v>
      </c>
      <c r="B19" s="292" t="str">
        <f>CONCATENATE("Агенское вознаграждение за услуги содействия по договору №DA000287 за ",  TEXT(Данные!G2,"ММММ ГГГГ\г\."))</f>
        <v>Агенское вознаграждение за услуги содействия по договору №DA000287 за Сентябрь 2019г.</v>
      </c>
      <c r="C19" s="292"/>
      <c r="D19" s="292"/>
      <c r="E19" s="292"/>
      <c r="F19" s="87"/>
      <c r="G19" s="88">
        <v>1</v>
      </c>
      <c r="H19" s="293">
        <f>L19</f>
        <v>157.1</v>
      </c>
      <c r="I19" s="293"/>
      <c r="J19" s="293"/>
      <c r="K19" s="293"/>
      <c r="L19" s="294">
        <f>'АКТ_Приемки услуг'!K109</f>
        <v>157.1</v>
      </c>
      <c r="M19" s="294"/>
      <c r="N19" s="294"/>
    </row>
    <row r="20" spans="1:14" x14ac:dyDescent="0.25">
      <c r="A20" s="58"/>
      <c r="B20" s="58"/>
      <c r="C20" s="58"/>
      <c r="D20" s="58"/>
      <c r="E20" s="58"/>
      <c r="F20" s="58"/>
      <c r="G20" s="58"/>
      <c r="H20" s="59"/>
      <c r="I20" s="295" t="s">
        <v>14</v>
      </c>
      <c r="J20" s="295"/>
      <c r="K20" s="295"/>
      <c r="L20" s="294">
        <f>'АКТ_Приемки услуг'!J109</f>
        <v>130.91999999999996</v>
      </c>
      <c r="M20" s="294"/>
      <c r="N20" s="294"/>
    </row>
    <row r="21" spans="1:14" x14ac:dyDescent="0.25">
      <c r="A21" s="58"/>
      <c r="B21" s="58"/>
      <c r="C21" s="58"/>
      <c r="D21" s="58"/>
      <c r="E21" s="58"/>
      <c r="F21" s="58"/>
      <c r="G21" s="58"/>
      <c r="H21" s="59"/>
      <c r="I21" s="295" t="s">
        <v>64</v>
      </c>
      <c r="J21" s="295"/>
      <c r="K21" s="295"/>
      <c r="L21" s="290">
        <f>L22-L20</f>
        <v>26.180000000000035</v>
      </c>
      <c r="M21" s="291"/>
      <c r="N21" s="291"/>
    </row>
    <row r="22" spans="1:14" x14ac:dyDescent="0.25">
      <c r="A22" s="82"/>
      <c r="B22" s="58"/>
      <c r="C22" s="58"/>
      <c r="D22" s="58"/>
      <c r="E22" s="58"/>
      <c r="F22" s="58"/>
      <c r="G22" s="58"/>
      <c r="H22" s="295" t="s">
        <v>65</v>
      </c>
      <c r="I22" s="295"/>
      <c r="J22" s="295"/>
      <c r="K22" s="295"/>
      <c r="L22" s="296">
        <f>SUM(L19:N19)</f>
        <v>157.1</v>
      </c>
      <c r="M22" s="296"/>
      <c r="N22" s="296"/>
    </row>
    <row r="23" spans="1:14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</row>
    <row r="24" spans="1:14" x14ac:dyDescent="0.25">
      <c r="A24" s="53" t="str">
        <f>CONCATENATE("Всего наименований 1, на сумму ",ROUND(L22,2), " рублей")</f>
        <v>Всего наименований 1, на сумму 157,1 рублей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</row>
    <row r="25" spans="1:14" x14ac:dyDescent="0.25">
      <c r="A25" s="55" t="str">
        <f>СуммаПрописью(L19)</f>
        <v>Сто пятьдесят семь рублей 10 копеек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</row>
    <row r="26" spans="1:14" x14ac:dyDescent="0.25">
      <c r="A26" s="55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</row>
    <row r="27" spans="1:14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</row>
    <row r="28" spans="1:14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</row>
    <row r="29" spans="1:14" x14ac:dyDescent="0.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</row>
    <row r="30" spans="1:14" x14ac:dyDescent="0.25">
      <c r="A30" s="264" t="s">
        <v>66</v>
      </c>
      <c r="B30" s="264"/>
      <c r="C30" s="264"/>
      <c r="D30" s="264"/>
      <c r="E30" s="297"/>
      <c r="F30" s="298"/>
      <c r="G30" s="298"/>
      <c r="H30" s="298"/>
      <c r="I30" s="53" t="s">
        <v>67</v>
      </c>
      <c r="J30" s="53"/>
      <c r="K30" s="53"/>
      <c r="L30" s="53"/>
      <c r="M30" s="53"/>
      <c r="N30" s="53"/>
    </row>
    <row r="31" spans="1:14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</row>
    <row r="32" spans="1:14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</row>
    <row r="33" spans="1:14" x14ac:dyDescent="0.25">
      <c r="A33" s="264" t="s">
        <v>37</v>
      </c>
      <c r="B33" s="264"/>
      <c r="C33" s="264"/>
      <c r="D33" s="264"/>
      <c r="E33" s="297"/>
      <c r="F33" s="298"/>
      <c r="G33" s="298"/>
      <c r="H33" s="298"/>
      <c r="I33" s="54" t="s">
        <v>169</v>
      </c>
      <c r="J33" s="53"/>
      <c r="K33" s="53"/>
      <c r="L33" s="53"/>
      <c r="M33" s="53"/>
      <c r="N33" s="53"/>
    </row>
    <row r="34" spans="1:14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</row>
    <row r="35" spans="1:14" x14ac:dyDescent="0.2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</row>
  </sheetData>
  <mergeCells count="35">
    <mergeCell ref="L22:N22"/>
    <mergeCell ref="A30:E30"/>
    <mergeCell ref="F30:H30"/>
    <mergeCell ref="A33:E33"/>
    <mergeCell ref="F33:H33"/>
    <mergeCell ref="H22:K22"/>
    <mergeCell ref="L21:N21"/>
    <mergeCell ref="L17:N18"/>
    <mergeCell ref="B19:E19"/>
    <mergeCell ref="H19:K19"/>
    <mergeCell ref="L19:N19"/>
    <mergeCell ref="L20:N20"/>
    <mergeCell ref="I20:K20"/>
    <mergeCell ref="I21:K21"/>
    <mergeCell ref="A14:C14"/>
    <mergeCell ref="D14:N14"/>
    <mergeCell ref="A15:C15"/>
    <mergeCell ref="D15:N15"/>
    <mergeCell ref="A16:N16"/>
    <mergeCell ref="A17:A18"/>
    <mergeCell ref="B17:E18"/>
    <mergeCell ref="F17:F18"/>
    <mergeCell ref="G17:G18"/>
    <mergeCell ref="H17:K18"/>
    <mergeCell ref="J7:N7"/>
    <mergeCell ref="A10:H10"/>
    <mergeCell ref="A11:N11"/>
    <mergeCell ref="B12:C12"/>
    <mergeCell ref="D12:E12"/>
    <mergeCell ref="G12:I12"/>
    <mergeCell ref="A1:N2"/>
    <mergeCell ref="A3:N3"/>
    <mergeCell ref="A5:N5"/>
    <mergeCell ref="A6:H6"/>
    <mergeCell ref="J6:N6"/>
  </mergeCells>
  <pageMargins left="0.70866141732283472" right="0.70866141732283472" top="0.74803149606299213" bottom="0.74803149606299213" header="0.31496062992125984" footer="0.31496062992125984"/>
  <pageSetup paperSize="9" scale="9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T35"/>
  <sheetViews>
    <sheetView zoomScaleNormal="100" workbookViewId="0">
      <selection activeCell="F3" sqref="F3:H3"/>
    </sheetView>
  </sheetViews>
  <sheetFormatPr defaultRowHeight="15" x14ac:dyDescent="0.25"/>
  <cols>
    <col min="1" max="1" width="9.85546875" customWidth="1"/>
    <col min="2" max="2" width="2.5703125" customWidth="1"/>
    <col min="3" max="3" width="17.7109375" customWidth="1"/>
    <col min="4" max="4" width="7.42578125" customWidth="1"/>
    <col min="5" max="5" width="5.85546875" customWidth="1"/>
    <col min="6" max="6" width="15.28515625" customWidth="1"/>
    <col min="7" max="7" width="8.28515625" customWidth="1"/>
    <col min="8" max="8" width="6.85546875" customWidth="1"/>
    <col min="9" max="9" width="4.140625" customWidth="1"/>
    <col min="10" max="10" width="18.28515625" customWidth="1"/>
    <col min="11" max="11" width="7.5703125" customWidth="1"/>
    <col min="12" max="12" width="7.7109375" customWidth="1"/>
    <col min="13" max="13" width="9.7109375" bestFit="1" customWidth="1"/>
    <col min="14" max="14" width="20.140625" customWidth="1"/>
    <col min="15" max="15" width="11" customWidth="1"/>
    <col min="16" max="16" width="14.140625" customWidth="1"/>
    <col min="17" max="17" width="9.42578125" customWidth="1"/>
    <col min="18" max="18" width="1.28515625" customWidth="1"/>
    <col min="19" max="20" width="9.140625" hidden="1" customWidth="1"/>
    <col min="258" max="258" width="9.85546875" customWidth="1"/>
    <col min="259" max="259" width="1.5703125" customWidth="1"/>
    <col min="260" max="260" width="17.7109375" customWidth="1"/>
    <col min="261" max="261" width="6.28515625" customWidth="1"/>
    <col min="262" max="262" width="15.5703125" customWidth="1"/>
    <col min="263" max="263" width="8.28515625" customWidth="1"/>
    <col min="264" max="264" width="9.42578125" customWidth="1"/>
    <col min="265" max="265" width="4.140625" customWidth="1"/>
    <col min="266" max="266" width="20.140625" customWidth="1"/>
    <col min="267" max="267" width="7.5703125" customWidth="1"/>
    <col min="268" max="268" width="11.85546875" customWidth="1"/>
    <col min="269" max="269" width="9.7109375" bestFit="1" customWidth="1"/>
    <col min="270" max="270" width="20.140625" customWidth="1"/>
    <col min="271" max="271" width="11" customWidth="1"/>
    <col min="272" max="272" width="14.140625" customWidth="1"/>
    <col min="273" max="273" width="9.42578125" customWidth="1"/>
    <col min="274" max="274" width="1.28515625" customWidth="1"/>
    <col min="275" max="276" width="0" hidden="1" customWidth="1"/>
    <col min="514" max="514" width="9.85546875" customWidth="1"/>
    <col min="515" max="515" width="1.5703125" customWidth="1"/>
    <col min="516" max="516" width="17.7109375" customWidth="1"/>
    <col min="517" max="517" width="6.28515625" customWidth="1"/>
    <col min="518" max="518" width="15.5703125" customWidth="1"/>
    <col min="519" max="519" width="8.28515625" customWidth="1"/>
    <col min="520" max="520" width="9.42578125" customWidth="1"/>
    <col min="521" max="521" width="4.140625" customWidth="1"/>
    <col min="522" max="522" width="20.140625" customWidth="1"/>
    <col min="523" max="523" width="7.5703125" customWidth="1"/>
    <col min="524" max="524" width="11.85546875" customWidth="1"/>
    <col min="525" max="525" width="9.7109375" bestFit="1" customWidth="1"/>
    <col min="526" max="526" width="20.140625" customWidth="1"/>
    <col min="527" max="527" width="11" customWidth="1"/>
    <col min="528" max="528" width="14.140625" customWidth="1"/>
    <col min="529" max="529" width="9.42578125" customWidth="1"/>
    <col min="530" max="530" width="1.28515625" customWidth="1"/>
    <col min="531" max="532" width="0" hidden="1" customWidth="1"/>
    <col min="770" max="770" width="9.85546875" customWidth="1"/>
    <col min="771" max="771" width="1.5703125" customWidth="1"/>
    <col min="772" max="772" width="17.7109375" customWidth="1"/>
    <col min="773" max="773" width="6.28515625" customWidth="1"/>
    <col min="774" max="774" width="15.5703125" customWidth="1"/>
    <col min="775" max="775" width="8.28515625" customWidth="1"/>
    <col min="776" max="776" width="9.42578125" customWidth="1"/>
    <col min="777" max="777" width="4.140625" customWidth="1"/>
    <col min="778" max="778" width="20.140625" customWidth="1"/>
    <col min="779" max="779" width="7.5703125" customWidth="1"/>
    <col min="780" max="780" width="11.85546875" customWidth="1"/>
    <col min="781" max="781" width="9.7109375" bestFit="1" customWidth="1"/>
    <col min="782" max="782" width="20.140625" customWidth="1"/>
    <col min="783" max="783" width="11" customWidth="1"/>
    <col min="784" max="784" width="14.140625" customWidth="1"/>
    <col min="785" max="785" width="9.42578125" customWidth="1"/>
    <col min="786" max="786" width="1.28515625" customWidth="1"/>
    <col min="787" max="788" width="0" hidden="1" customWidth="1"/>
    <col min="1026" max="1026" width="9.85546875" customWidth="1"/>
    <col min="1027" max="1027" width="1.5703125" customWidth="1"/>
    <col min="1028" max="1028" width="17.7109375" customWidth="1"/>
    <col min="1029" max="1029" width="6.28515625" customWidth="1"/>
    <col min="1030" max="1030" width="15.5703125" customWidth="1"/>
    <col min="1031" max="1031" width="8.28515625" customWidth="1"/>
    <col min="1032" max="1032" width="9.42578125" customWidth="1"/>
    <col min="1033" max="1033" width="4.140625" customWidth="1"/>
    <col min="1034" max="1034" width="20.140625" customWidth="1"/>
    <col min="1035" max="1035" width="7.5703125" customWidth="1"/>
    <col min="1036" max="1036" width="11.85546875" customWidth="1"/>
    <col min="1037" max="1037" width="9.7109375" bestFit="1" customWidth="1"/>
    <col min="1038" max="1038" width="20.140625" customWidth="1"/>
    <col min="1039" max="1039" width="11" customWidth="1"/>
    <col min="1040" max="1040" width="14.140625" customWidth="1"/>
    <col min="1041" max="1041" width="9.42578125" customWidth="1"/>
    <col min="1042" max="1042" width="1.28515625" customWidth="1"/>
    <col min="1043" max="1044" width="0" hidden="1" customWidth="1"/>
    <col min="1282" max="1282" width="9.85546875" customWidth="1"/>
    <col min="1283" max="1283" width="1.5703125" customWidth="1"/>
    <col min="1284" max="1284" width="17.7109375" customWidth="1"/>
    <col min="1285" max="1285" width="6.28515625" customWidth="1"/>
    <col min="1286" max="1286" width="15.5703125" customWidth="1"/>
    <col min="1287" max="1287" width="8.28515625" customWidth="1"/>
    <col min="1288" max="1288" width="9.42578125" customWidth="1"/>
    <col min="1289" max="1289" width="4.140625" customWidth="1"/>
    <col min="1290" max="1290" width="20.140625" customWidth="1"/>
    <col min="1291" max="1291" width="7.5703125" customWidth="1"/>
    <col min="1292" max="1292" width="11.85546875" customWidth="1"/>
    <col min="1293" max="1293" width="9.7109375" bestFit="1" customWidth="1"/>
    <col min="1294" max="1294" width="20.140625" customWidth="1"/>
    <col min="1295" max="1295" width="11" customWidth="1"/>
    <col min="1296" max="1296" width="14.140625" customWidth="1"/>
    <col min="1297" max="1297" width="9.42578125" customWidth="1"/>
    <col min="1298" max="1298" width="1.28515625" customWidth="1"/>
    <col min="1299" max="1300" width="0" hidden="1" customWidth="1"/>
    <col min="1538" max="1538" width="9.85546875" customWidth="1"/>
    <col min="1539" max="1539" width="1.5703125" customWidth="1"/>
    <col min="1540" max="1540" width="17.7109375" customWidth="1"/>
    <col min="1541" max="1541" width="6.28515625" customWidth="1"/>
    <col min="1542" max="1542" width="15.5703125" customWidth="1"/>
    <col min="1543" max="1543" width="8.28515625" customWidth="1"/>
    <col min="1544" max="1544" width="9.42578125" customWidth="1"/>
    <col min="1545" max="1545" width="4.140625" customWidth="1"/>
    <col min="1546" max="1546" width="20.140625" customWidth="1"/>
    <col min="1547" max="1547" width="7.5703125" customWidth="1"/>
    <col min="1548" max="1548" width="11.85546875" customWidth="1"/>
    <col min="1549" max="1549" width="9.7109375" bestFit="1" customWidth="1"/>
    <col min="1550" max="1550" width="20.140625" customWidth="1"/>
    <col min="1551" max="1551" width="11" customWidth="1"/>
    <col min="1552" max="1552" width="14.140625" customWidth="1"/>
    <col min="1553" max="1553" width="9.42578125" customWidth="1"/>
    <col min="1554" max="1554" width="1.28515625" customWidth="1"/>
    <col min="1555" max="1556" width="0" hidden="1" customWidth="1"/>
    <col min="1794" max="1794" width="9.85546875" customWidth="1"/>
    <col min="1795" max="1795" width="1.5703125" customWidth="1"/>
    <col min="1796" max="1796" width="17.7109375" customWidth="1"/>
    <col min="1797" max="1797" width="6.28515625" customWidth="1"/>
    <col min="1798" max="1798" width="15.5703125" customWidth="1"/>
    <col min="1799" max="1799" width="8.28515625" customWidth="1"/>
    <col min="1800" max="1800" width="9.42578125" customWidth="1"/>
    <col min="1801" max="1801" width="4.140625" customWidth="1"/>
    <col min="1802" max="1802" width="20.140625" customWidth="1"/>
    <col min="1803" max="1803" width="7.5703125" customWidth="1"/>
    <col min="1804" max="1804" width="11.85546875" customWidth="1"/>
    <col min="1805" max="1805" width="9.7109375" bestFit="1" customWidth="1"/>
    <col min="1806" max="1806" width="20.140625" customWidth="1"/>
    <col min="1807" max="1807" width="11" customWidth="1"/>
    <col min="1808" max="1808" width="14.140625" customWidth="1"/>
    <col min="1809" max="1809" width="9.42578125" customWidth="1"/>
    <col min="1810" max="1810" width="1.28515625" customWidth="1"/>
    <col min="1811" max="1812" width="0" hidden="1" customWidth="1"/>
    <col min="2050" max="2050" width="9.85546875" customWidth="1"/>
    <col min="2051" max="2051" width="1.5703125" customWidth="1"/>
    <col min="2052" max="2052" width="17.7109375" customWidth="1"/>
    <col min="2053" max="2053" width="6.28515625" customWidth="1"/>
    <col min="2054" max="2054" width="15.5703125" customWidth="1"/>
    <col min="2055" max="2055" width="8.28515625" customWidth="1"/>
    <col min="2056" max="2056" width="9.42578125" customWidth="1"/>
    <col min="2057" max="2057" width="4.140625" customWidth="1"/>
    <col min="2058" max="2058" width="20.140625" customWidth="1"/>
    <col min="2059" max="2059" width="7.5703125" customWidth="1"/>
    <col min="2060" max="2060" width="11.85546875" customWidth="1"/>
    <col min="2061" max="2061" width="9.7109375" bestFit="1" customWidth="1"/>
    <col min="2062" max="2062" width="20.140625" customWidth="1"/>
    <col min="2063" max="2063" width="11" customWidth="1"/>
    <col min="2064" max="2064" width="14.140625" customWidth="1"/>
    <col min="2065" max="2065" width="9.42578125" customWidth="1"/>
    <col min="2066" max="2066" width="1.28515625" customWidth="1"/>
    <col min="2067" max="2068" width="0" hidden="1" customWidth="1"/>
    <col min="2306" max="2306" width="9.85546875" customWidth="1"/>
    <col min="2307" max="2307" width="1.5703125" customWidth="1"/>
    <col min="2308" max="2308" width="17.7109375" customWidth="1"/>
    <col min="2309" max="2309" width="6.28515625" customWidth="1"/>
    <col min="2310" max="2310" width="15.5703125" customWidth="1"/>
    <col min="2311" max="2311" width="8.28515625" customWidth="1"/>
    <col min="2312" max="2312" width="9.42578125" customWidth="1"/>
    <col min="2313" max="2313" width="4.140625" customWidth="1"/>
    <col min="2314" max="2314" width="20.140625" customWidth="1"/>
    <col min="2315" max="2315" width="7.5703125" customWidth="1"/>
    <col min="2316" max="2316" width="11.85546875" customWidth="1"/>
    <col min="2317" max="2317" width="9.7109375" bestFit="1" customWidth="1"/>
    <col min="2318" max="2318" width="20.140625" customWidth="1"/>
    <col min="2319" max="2319" width="11" customWidth="1"/>
    <col min="2320" max="2320" width="14.140625" customWidth="1"/>
    <col min="2321" max="2321" width="9.42578125" customWidth="1"/>
    <col min="2322" max="2322" width="1.28515625" customWidth="1"/>
    <col min="2323" max="2324" width="0" hidden="1" customWidth="1"/>
    <col min="2562" max="2562" width="9.85546875" customWidth="1"/>
    <col min="2563" max="2563" width="1.5703125" customWidth="1"/>
    <col min="2564" max="2564" width="17.7109375" customWidth="1"/>
    <col min="2565" max="2565" width="6.28515625" customWidth="1"/>
    <col min="2566" max="2566" width="15.5703125" customWidth="1"/>
    <col min="2567" max="2567" width="8.28515625" customWidth="1"/>
    <col min="2568" max="2568" width="9.42578125" customWidth="1"/>
    <col min="2569" max="2569" width="4.140625" customWidth="1"/>
    <col min="2570" max="2570" width="20.140625" customWidth="1"/>
    <col min="2571" max="2571" width="7.5703125" customWidth="1"/>
    <col min="2572" max="2572" width="11.85546875" customWidth="1"/>
    <col min="2573" max="2573" width="9.7109375" bestFit="1" customWidth="1"/>
    <col min="2574" max="2574" width="20.140625" customWidth="1"/>
    <col min="2575" max="2575" width="11" customWidth="1"/>
    <col min="2576" max="2576" width="14.140625" customWidth="1"/>
    <col min="2577" max="2577" width="9.42578125" customWidth="1"/>
    <col min="2578" max="2578" width="1.28515625" customWidth="1"/>
    <col min="2579" max="2580" width="0" hidden="1" customWidth="1"/>
    <col min="2818" max="2818" width="9.85546875" customWidth="1"/>
    <col min="2819" max="2819" width="1.5703125" customWidth="1"/>
    <col min="2820" max="2820" width="17.7109375" customWidth="1"/>
    <col min="2821" max="2821" width="6.28515625" customWidth="1"/>
    <col min="2822" max="2822" width="15.5703125" customWidth="1"/>
    <col min="2823" max="2823" width="8.28515625" customWidth="1"/>
    <col min="2824" max="2824" width="9.42578125" customWidth="1"/>
    <col min="2825" max="2825" width="4.140625" customWidth="1"/>
    <col min="2826" max="2826" width="20.140625" customWidth="1"/>
    <col min="2827" max="2827" width="7.5703125" customWidth="1"/>
    <col min="2828" max="2828" width="11.85546875" customWidth="1"/>
    <col min="2829" max="2829" width="9.7109375" bestFit="1" customWidth="1"/>
    <col min="2830" max="2830" width="20.140625" customWidth="1"/>
    <col min="2831" max="2831" width="11" customWidth="1"/>
    <col min="2832" max="2832" width="14.140625" customWidth="1"/>
    <col min="2833" max="2833" width="9.42578125" customWidth="1"/>
    <col min="2834" max="2834" width="1.28515625" customWidth="1"/>
    <col min="2835" max="2836" width="0" hidden="1" customWidth="1"/>
    <col min="3074" max="3074" width="9.85546875" customWidth="1"/>
    <col min="3075" max="3075" width="1.5703125" customWidth="1"/>
    <col min="3076" max="3076" width="17.7109375" customWidth="1"/>
    <col min="3077" max="3077" width="6.28515625" customWidth="1"/>
    <col min="3078" max="3078" width="15.5703125" customWidth="1"/>
    <col min="3079" max="3079" width="8.28515625" customWidth="1"/>
    <col min="3080" max="3080" width="9.42578125" customWidth="1"/>
    <col min="3081" max="3081" width="4.140625" customWidth="1"/>
    <col min="3082" max="3082" width="20.140625" customWidth="1"/>
    <col min="3083" max="3083" width="7.5703125" customWidth="1"/>
    <col min="3084" max="3084" width="11.85546875" customWidth="1"/>
    <col min="3085" max="3085" width="9.7109375" bestFit="1" customWidth="1"/>
    <col min="3086" max="3086" width="20.140625" customWidth="1"/>
    <col min="3087" max="3087" width="11" customWidth="1"/>
    <col min="3088" max="3088" width="14.140625" customWidth="1"/>
    <col min="3089" max="3089" width="9.42578125" customWidth="1"/>
    <col min="3090" max="3090" width="1.28515625" customWidth="1"/>
    <col min="3091" max="3092" width="0" hidden="1" customWidth="1"/>
    <col min="3330" max="3330" width="9.85546875" customWidth="1"/>
    <col min="3331" max="3331" width="1.5703125" customWidth="1"/>
    <col min="3332" max="3332" width="17.7109375" customWidth="1"/>
    <col min="3333" max="3333" width="6.28515625" customWidth="1"/>
    <col min="3334" max="3334" width="15.5703125" customWidth="1"/>
    <col min="3335" max="3335" width="8.28515625" customWidth="1"/>
    <col min="3336" max="3336" width="9.42578125" customWidth="1"/>
    <col min="3337" max="3337" width="4.140625" customWidth="1"/>
    <col min="3338" max="3338" width="20.140625" customWidth="1"/>
    <col min="3339" max="3339" width="7.5703125" customWidth="1"/>
    <col min="3340" max="3340" width="11.85546875" customWidth="1"/>
    <col min="3341" max="3341" width="9.7109375" bestFit="1" customWidth="1"/>
    <col min="3342" max="3342" width="20.140625" customWidth="1"/>
    <col min="3343" max="3343" width="11" customWidth="1"/>
    <col min="3344" max="3344" width="14.140625" customWidth="1"/>
    <col min="3345" max="3345" width="9.42578125" customWidth="1"/>
    <col min="3346" max="3346" width="1.28515625" customWidth="1"/>
    <col min="3347" max="3348" width="0" hidden="1" customWidth="1"/>
    <col min="3586" max="3586" width="9.85546875" customWidth="1"/>
    <col min="3587" max="3587" width="1.5703125" customWidth="1"/>
    <col min="3588" max="3588" width="17.7109375" customWidth="1"/>
    <col min="3589" max="3589" width="6.28515625" customWidth="1"/>
    <col min="3590" max="3590" width="15.5703125" customWidth="1"/>
    <col min="3591" max="3591" width="8.28515625" customWidth="1"/>
    <col min="3592" max="3592" width="9.42578125" customWidth="1"/>
    <col min="3593" max="3593" width="4.140625" customWidth="1"/>
    <col min="3594" max="3594" width="20.140625" customWidth="1"/>
    <col min="3595" max="3595" width="7.5703125" customWidth="1"/>
    <col min="3596" max="3596" width="11.85546875" customWidth="1"/>
    <col min="3597" max="3597" width="9.7109375" bestFit="1" customWidth="1"/>
    <col min="3598" max="3598" width="20.140625" customWidth="1"/>
    <col min="3599" max="3599" width="11" customWidth="1"/>
    <col min="3600" max="3600" width="14.140625" customWidth="1"/>
    <col min="3601" max="3601" width="9.42578125" customWidth="1"/>
    <col min="3602" max="3602" width="1.28515625" customWidth="1"/>
    <col min="3603" max="3604" width="0" hidden="1" customWidth="1"/>
    <col min="3842" max="3842" width="9.85546875" customWidth="1"/>
    <col min="3843" max="3843" width="1.5703125" customWidth="1"/>
    <col min="3844" max="3844" width="17.7109375" customWidth="1"/>
    <col min="3845" max="3845" width="6.28515625" customWidth="1"/>
    <col min="3846" max="3846" width="15.5703125" customWidth="1"/>
    <col min="3847" max="3847" width="8.28515625" customWidth="1"/>
    <col min="3848" max="3848" width="9.42578125" customWidth="1"/>
    <col min="3849" max="3849" width="4.140625" customWidth="1"/>
    <col min="3850" max="3850" width="20.140625" customWidth="1"/>
    <col min="3851" max="3851" width="7.5703125" customWidth="1"/>
    <col min="3852" max="3852" width="11.85546875" customWidth="1"/>
    <col min="3853" max="3853" width="9.7109375" bestFit="1" customWidth="1"/>
    <col min="3854" max="3854" width="20.140625" customWidth="1"/>
    <col min="3855" max="3855" width="11" customWidth="1"/>
    <col min="3856" max="3856" width="14.140625" customWidth="1"/>
    <col min="3857" max="3857" width="9.42578125" customWidth="1"/>
    <col min="3858" max="3858" width="1.28515625" customWidth="1"/>
    <col min="3859" max="3860" width="0" hidden="1" customWidth="1"/>
    <col min="4098" max="4098" width="9.85546875" customWidth="1"/>
    <col min="4099" max="4099" width="1.5703125" customWidth="1"/>
    <col min="4100" max="4100" width="17.7109375" customWidth="1"/>
    <col min="4101" max="4101" width="6.28515625" customWidth="1"/>
    <col min="4102" max="4102" width="15.5703125" customWidth="1"/>
    <col min="4103" max="4103" width="8.28515625" customWidth="1"/>
    <col min="4104" max="4104" width="9.42578125" customWidth="1"/>
    <col min="4105" max="4105" width="4.140625" customWidth="1"/>
    <col min="4106" max="4106" width="20.140625" customWidth="1"/>
    <col min="4107" max="4107" width="7.5703125" customWidth="1"/>
    <col min="4108" max="4108" width="11.85546875" customWidth="1"/>
    <col min="4109" max="4109" width="9.7109375" bestFit="1" customWidth="1"/>
    <col min="4110" max="4110" width="20.140625" customWidth="1"/>
    <col min="4111" max="4111" width="11" customWidth="1"/>
    <col min="4112" max="4112" width="14.140625" customWidth="1"/>
    <col min="4113" max="4113" width="9.42578125" customWidth="1"/>
    <col min="4114" max="4114" width="1.28515625" customWidth="1"/>
    <col min="4115" max="4116" width="0" hidden="1" customWidth="1"/>
    <col min="4354" max="4354" width="9.85546875" customWidth="1"/>
    <col min="4355" max="4355" width="1.5703125" customWidth="1"/>
    <col min="4356" max="4356" width="17.7109375" customWidth="1"/>
    <col min="4357" max="4357" width="6.28515625" customWidth="1"/>
    <col min="4358" max="4358" width="15.5703125" customWidth="1"/>
    <col min="4359" max="4359" width="8.28515625" customWidth="1"/>
    <col min="4360" max="4360" width="9.42578125" customWidth="1"/>
    <col min="4361" max="4361" width="4.140625" customWidth="1"/>
    <col min="4362" max="4362" width="20.140625" customWidth="1"/>
    <col min="4363" max="4363" width="7.5703125" customWidth="1"/>
    <col min="4364" max="4364" width="11.85546875" customWidth="1"/>
    <col min="4365" max="4365" width="9.7109375" bestFit="1" customWidth="1"/>
    <col min="4366" max="4366" width="20.140625" customWidth="1"/>
    <col min="4367" max="4367" width="11" customWidth="1"/>
    <col min="4368" max="4368" width="14.140625" customWidth="1"/>
    <col min="4369" max="4369" width="9.42578125" customWidth="1"/>
    <col min="4370" max="4370" width="1.28515625" customWidth="1"/>
    <col min="4371" max="4372" width="0" hidden="1" customWidth="1"/>
    <col min="4610" max="4610" width="9.85546875" customWidth="1"/>
    <col min="4611" max="4611" width="1.5703125" customWidth="1"/>
    <col min="4612" max="4612" width="17.7109375" customWidth="1"/>
    <col min="4613" max="4613" width="6.28515625" customWidth="1"/>
    <col min="4614" max="4614" width="15.5703125" customWidth="1"/>
    <col min="4615" max="4615" width="8.28515625" customWidth="1"/>
    <col min="4616" max="4616" width="9.42578125" customWidth="1"/>
    <col min="4617" max="4617" width="4.140625" customWidth="1"/>
    <col min="4618" max="4618" width="20.140625" customWidth="1"/>
    <col min="4619" max="4619" width="7.5703125" customWidth="1"/>
    <col min="4620" max="4620" width="11.85546875" customWidth="1"/>
    <col min="4621" max="4621" width="9.7109375" bestFit="1" customWidth="1"/>
    <col min="4622" max="4622" width="20.140625" customWidth="1"/>
    <col min="4623" max="4623" width="11" customWidth="1"/>
    <col min="4624" max="4624" width="14.140625" customWidth="1"/>
    <col min="4625" max="4625" width="9.42578125" customWidth="1"/>
    <col min="4626" max="4626" width="1.28515625" customWidth="1"/>
    <col min="4627" max="4628" width="0" hidden="1" customWidth="1"/>
    <col min="4866" max="4866" width="9.85546875" customWidth="1"/>
    <col min="4867" max="4867" width="1.5703125" customWidth="1"/>
    <col min="4868" max="4868" width="17.7109375" customWidth="1"/>
    <col min="4869" max="4869" width="6.28515625" customWidth="1"/>
    <col min="4870" max="4870" width="15.5703125" customWidth="1"/>
    <col min="4871" max="4871" width="8.28515625" customWidth="1"/>
    <col min="4872" max="4872" width="9.42578125" customWidth="1"/>
    <col min="4873" max="4873" width="4.140625" customWidth="1"/>
    <col min="4874" max="4874" width="20.140625" customWidth="1"/>
    <col min="4875" max="4875" width="7.5703125" customWidth="1"/>
    <col min="4876" max="4876" width="11.85546875" customWidth="1"/>
    <col min="4877" max="4877" width="9.7109375" bestFit="1" customWidth="1"/>
    <col min="4878" max="4878" width="20.140625" customWidth="1"/>
    <col min="4879" max="4879" width="11" customWidth="1"/>
    <col min="4880" max="4880" width="14.140625" customWidth="1"/>
    <col min="4881" max="4881" width="9.42578125" customWidth="1"/>
    <col min="4882" max="4882" width="1.28515625" customWidth="1"/>
    <col min="4883" max="4884" width="0" hidden="1" customWidth="1"/>
    <col min="5122" max="5122" width="9.85546875" customWidth="1"/>
    <col min="5123" max="5123" width="1.5703125" customWidth="1"/>
    <col min="5124" max="5124" width="17.7109375" customWidth="1"/>
    <col min="5125" max="5125" width="6.28515625" customWidth="1"/>
    <col min="5126" max="5126" width="15.5703125" customWidth="1"/>
    <col min="5127" max="5127" width="8.28515625" customWidth="1"/>
    <col min="5128" max="5128" width="9.42578125" customWidth="1"/>
    <col min="5129" max="5129" width="4.140625" customWidth="1"/>
    <col min="5130" max="5130" width="20.140625" customWidth="1"/>
    <col min="5131" max="5131" width="7.5703125" customWidth="1"/>
    <col min="5132" max="5132" width="11.85546875" customWidth="1"/>
    <col min="5133" max="5133" width="9.7109375" bestFit="1" customWidth="1"/>
    <col min="5134" max="5134" width="20.140625" customWidth="1"/>
    <col min="5135" max="5135" width="11" customWidth="1"/>
    <col min="5136" max="5136" width="14.140625" customWidth="1"/>
    <col min="5137" max="5137" width="9.42578125" customWidth="1"/>
    <col min="5138" max="5138" width="1.28515625" customWidth="1"/>
    <col min="5139" max="5140" width="0" hidden="1" customWidth="1"/>
    <col min="5378" max="5378" width="9.85546875" customWidth="1"/>
    <col min="5379" max="5379" width="1.5703125" customWidth="1"/>
    <col min="5380" max="5380" width="17.7109375" customWidth="1"/>
    <col min="5381" max="5381" width="6.28515625" customWidth="1"/>
    <col min="5382" max="5382" width="15.5703125" customWidth="1"/>
    <col min="5383" max="5383" width="8.28515625" customWidth="1"/>
    <col min="5384" max="5384" width="9.42578125" customWidth="1"/>
    <col min="5385" max="5385" width="4.140625" customWidth="1"/>
    <col min="5386" max="5386" width="20.140625" customWidth="1"/>
    <col min="5387" max="5387" width="7.5703125" customWidth="1"/>
    <col min="5388" max="5388" width="11.85546875" customWidth="1"/>
    <col min="5389" max="5389" width="9.7109375" bestFit="1" customWidth="1"/>
    <col min="5390" max="5390" width="20.140625" customWidth="1"/>
    <col min="5391" max="5391" width="11" customWidth="1"/>
    <col min="5392" max="5392" width="14.140625" customWidth="1"/>
    <col min="5393" max="5393" width="9.42578125" customWidth="1"/>
    <col min="5394" max="5394" width="1.28515625" customWidth="1"/>
    <col min="5395" max="5396" width="0" hidden="1" customWidth="1"/>
    <col min="5634" max="5634" width="9.85546875" customWidth="1"/>
    <col min="5635" max="5635" width="1.5703125" customWidth="1"/>
    <col min="5636" max="5636" width="17.7109375" customWidth="1"/>
    <col min="5637" max="5637" width="6.28515625" customWidth="1"/>
    <col min="5638" max="5638" width="15.5703125" customWidth="1"/>
    <col min="5639" max="5639" width="8.28515625" customWidth="1"/>
    <col min="5640" max="5640" width="9.42578125" customWidth="1"/>
    <col min="5641" max="5641" width="4.140625" customWidth="1"/>
    <col min="5642" max="5642" width="20.140625" customWidth="1"/>
    <col min="5643" max="5643" width="7.5703125" customWidth="1"/>
    <col min="5644" max="5644" width="11.85546875" customWidth="1"/>
    <col min="5645" max="5645" width="9.7109375" bestFit="1" customWidth="1"/>
    <col min="5646" max="5646" width="20.140625" customWidth="1"/>
    <col min="5647" max="5647" width="11" customWidth="1"/>
    <col min="5648" max="5648" width="14.140625" customWidth="1"/>
    <col min="5649" max="5649" width="9.42578125" customWidth="1"/>
    <col min="5650" max="5650" width="1.28515625" customWidth="1"/>
    <col min="5651" max="5652" width="0" hidden="1" customWidth="1"/>
    <col min="5890" max="5890" width="9.85546875" customWidth="1"/>
    <col min="5891" max="5891" width="1.5703125" customWidth="1"/>
    <col min="5892" max="5892" width="17.7109375" customWidth="1"/>
    <col min="5893" max="5893" width="6.28515625" customWidth="1"/>
    <col min="5894" max="5894" width="15.5703125" customWidth="1"/>
    <col min="5895" max="5895" width="8.28515625" customWidth="1"/>
    <col min="5896" max="5896" width="9.42578125" customWidth="1"/>
    <col min="5897" max="5897" width="4.140625" customWidth="1"/>
    <col min="5898" max="5898" width="20.140625" customWidth="1"/>
    <col min="5899" max="5899" width="7.5703125" customWidth="1"/>
    <col min="5900" max="5900" width="11.85546875" customWidth="1"/>
    <col min="5901" max="5901" width="9.7109375" bestFit="1" customWidth="1"/>
    <col min="5902" max="5902" width="20.140625" customWidth="1"/>
    <col min="5903" max="5903" width="11" customWidth="1"/>
    <col min="5904" max="5904" width="14.140625" customWidth="1"/>
    <col min="5905" max="5905" width="9.42578125" customWidth="1"/>
    <col min="5906" max="5906" width="1.28515625" customWidth="1"/>
    <col min="5907" max="5908" width="0" hidden="1" customWidth="1"/>
    <col min="6146" max="6146" width="9.85546875" customWidth="1"/>
    <col min="6147" max="6147" width="1.5703125" customWidth="1"/>
    <col min="6148" max="6148" width="17.7109375" customWidth="1"/>
    <col min="6149" max="6149" width="6.28515625" customWidth="1"/>
    <col min="6150" max="6150" width="15.5703125" customWidth="1"/>
    <col min="6151" max="6151" width="8.28515625" customWidth="1"/>
    <col min="6152" max="6152" width="9.42578125" customWidth="1"/>
    <col min="6153" max="6153" width="4.140625" customWidth="1"/>
    <col min="6154" max="6154" width="20.140625" customWidth="1"/>
    <col min="6155" max="6155" width="7.5703125" customWidth="1"/>
    <col min="6156" max="6156" width="11.85546875" customWidth="1"/>
    <col min="6157" max="6157" width="9.7109375" bestFit="1" customWidth="1"/>
    <col min="6158" max="6158" width="20.140625" customWidth="1"/>
    <col min="6159" max="6159" width="11" customWidth="1"/>
    <col min="6160" max="6160" width="14.140625" customWidth="1"/>
    <col min="6161" max="6161" width="9.42578125" customWidth="1"/>
    <col min="6162" max="6162" width="1.28515625" customWidth="1"/>
    <col min="6163" max="6164" width="0" hidden="1" customWidth="1"/>
    <col min="6402" max="6402" width="9.85546875" customWidth="1"/>
    <col min="6403" max="6403" width="1.5703125" customWidth="1"/>
    <col min="6404" max="6404" width="17.7109375" customWidth="1"/>
    <col min="6405" max="6405" width="6.28515625" customWidth="1"/>
    <col min="6406" max="6406" width="15.5703125" customWidth="1"/>
    <col min="6407" max="6407" width="8.28515625" customWidth="1"/>
    <col min="6408" max="6408" width="9.42578125" customWidth="1"/>
    <col min="6409" max="6409" width="4.140625" customWidth="1"/>
    <col min="6410" max="6410" width="20.140625" customWidth="1"/>
    <col min="6411" max="6411" width="7.5703125" customWidth="1"/>
    <col min="6412" max="6412" width="11.85546875" customWidth="1"/>
    <col min="6413" max="6413" width="9.7109375" bestFit="1" customWidth="1"/>
    <col min="6414" max="6414" width="20.140625" customWidth="1"/>
    <col min="6415" max="6415" width="11" customWidth="1"/>
    <col min="6416" max="6416" width="14.140625" customWidth="1"/>
    <col min="6417" max="6417" width="9.42578125" customWidth="1"/>
    <col min="6418" max="6418" width="1.28515625" customWidth="1"/>
    <col min="6419" max="6420" width="0" hidden="1" customWidth="1"/>
    <col min="6658" max="6658" width="9.85546875" customWidth="1"/>
    <col min="6659" max="6659" width="1.5703125" customWidth="1"/>
    <col min="6660" max="6660" width="17.7109375" customWidth="1"/>
    <col min="6661" max="6661" width="6.28515625" customWidth="1"/>
    <col min="6662" max="6662" width="15.5703125" customWidth="1"/>
    <col min="6663" max="6663" width="8.28515625" customWidth="1"/>
    <col min="6664" max="6664" width="9.42578125" customWidth="1"/>
    <col min="6665" max="6665" width="4.140625" customWidth="1"/>
    <col min="6666" max="6666" width="20.140625" customWidth="1"/>
    <col min="6667" max="6667" width="7.5703125" customWidth="1"/>
    <col min="6668" max="6668" width="11.85546875" customWidth="1"/>
    <col min="6669" max="6669" width="9.7109375" bestFit="1" customWidth="1"/>
    <col min="6670" max="6670" width="20.140625" customWidth="1"/>
    <col min="6671" max="6671" width="11" customWidth="1"/>
    <col min="6672" max="6672" width="14.140625" customWidth="1"/>
    <col min="6673" max="6673" width="9.42578125" customWidth="1"/>
    <col min="6674" max="6674" width="1.28515625" customWidth="1"/>
    <col min="6675" max="6676" width="0" hidden="1" customWidth="1"/>
    <col min="6914" max="6914" width="9.85546875" customWidth="1"/>
    <col min="6915" max="6915" width="1.5703125" customWidth="1"/>
    <col min="6916" max="6916" width="17.7109375" customWidth="1"/>
    <col min="6917" max="6917" width="6.28515625" customWidth="1"/>
    <col min="6918" max="6918" width="15.5703125" customWidth="1"/>
    <col min="6919" max="6919" width="8.28515625" customWidth="1"/>
    <col min="6920" max="6920" width="9.42578125" customWidth="1"/>
    <col min="6921" max="6921" width="4.140625" customWidth="1"/>
    <col min="6922" max="6922" width="20.140625" customWidth="1"/>
    <col min="6923" max="6923" width="7.5703125" customWidth="1"/>
    <col min="6924" max="6924" width="11.85546875" customWidth="1"/>
    <col min="6925" max="6925" width="9.7109375" bestFit="1" customWidth="1"/>
    <col min="6926" max="6926" width="20.140625" customWidth="1"/>
    <col min="6927" max="6927" width="11" customWidth="1"/>
    <col min="6928" max="6928" width="14.140625" customWidth="1"/>
    <col min="6929" max="6929" width="9.42578125" customWidth="1"/>
    <col min="6930" max="6930" width="1.28515625" customWidth="1"/>
    <col min="6931" max="6932" width="0" hidden="1" customWidth="1"/>
    <col min="7170" max="7170" width="9.85546875" customWidth="1"/>
    <col min="7171" max="7171" width="1.5703125" customWidth="1"/>
    <col min="7172" max="7172" width="17.7109375" customWidth="1"/>
    <col min="7173" max="7173" width="6.28515625" customWidth="1"/>
    <col min="7174" max="7174" width="15.5703125" customWidth="1"/>
    <col min="7175" max="7175" width="8.28515625" customWidth="1"/>
    <col min="7176" max="7176" width="9.42578125" customWidth="1"/>
    <col min="7177" max="7177" width="4.140625" customWidth="1"/>
    <col min="7178" max="7178" width="20.140625" customWidth="1"/>
    <col min="7179" max="7179" width="7.5703125" customWidth="1"/>
    <col min="7180" max="7180" width="11.85546875" customWidth="1"/>
    <col min="7181" max="7181" width="9.7109375" bestFit="1" customWidth="1"/>
    <col min="7182" max="7182" width="20.140625" customWidth="1"/>
    <col min="7183" max="7183" width="11" customWidth="1"/>
    <col min="7184" max="7184" width="14.140625" customWidth="1"/>
    <col min="7185" max="7185" width="9.42578125" customWidth="1"/>
    <col min="7186" max="7186" width="1.28515625" customWidth="1"/>
    <col min="7187" max="7188" width="0" hidden="1" customWidth="1"/>
    <col min="7426" max="7426" width="9.85546875" customWidth="1"/>
    <col min="7427" max="7427" width="1.5703125" customWidth="1"/>
    <col min="7428" max="7428" width="17.7109375" customWidth="1"/>
    <col min="7429" max="7429" width="6.28515625" customWidth="1"/>
    <col min="7430" max="7430" width="15.5703125" customWidth="1"/>
    <col min="7431" max="7431" width="8.28515625" customWidth="1"/>
    <col min="7432" max="7432" width="9.42578125" customWidth="1"/>
    <col min="7433" max="7433" width="4.140625" customWidth="1"/>
    <col min="7434" max="7434" width="20.140625" customWidth="1"/>
    <col min="7435" max="7435" width="7.5703125" customWidth="1"/>
    <col min="7436" max="7436" width="11.85546875" customWidth="1"/>
    <col min="7437" max="7437" width="9.7109375" bestFit="1" customWidth="1"/>
    <col min="7438" max="7438" width="20.140625" customWidth="1"/>
    <col min="7439" max="7439" width="11" customWidth="1"/>
    <col min="7440" max="7440" width="14.140625" customWidth="1"/>
    <col min="7441" max="7441" width="9.42578125" customWidth="1"/>
    <col min="7442" max="7442" width="1.28515625" customWidth="1"/>
    <col min="7443" max="7444" width="0" hidden="1" customWidth="1"/>
    <col min="7682" max="7682" width="9.85546875" customWidth="1"/>
    <col min="7683" max="7683" width="1.5703125" customWidth="1"/>
    <col min="7684" max="7684" width="17.7109375" customWidth="1"/>
    <col min="7685" max="7685" width="6.28515625" customWidth="1"/>
    <col min="7686" max="7686" width="15.5703125" customWidth="1"/>
    <col min="7687" max="7687" width="8.28515625" customWidth="1"/>
    <col min="7688" max="7688" width="9.42578125" customWidth="1"/>
    <col min="7689" max="7689" width="4.140625" customWidth="1"/>
    <col min="7690" max="7690" width="20.140625" customWidth="1"/>
    <col min="7691" max="7691" width="7.5703125" customWidth="1"/>
    <col min="7692" max="7692" width="11.85546875" customWidth="1"/>
    <col min="7693" max="7693" width="9.7109375" bestFit="1" customWidth="1"/>
    <col min="7694" max="7694" width="20.140625" customWidth="1"/>
    <col min="7695" max="7695" width="11" customWidth="1"/>
    <col min="7696" max="7696" width="14.140625" customWidth="1"/>
    <col min="7697" max="7697" width="9.42578125" customWidth="1"/>
    <col min="7698" max="7698" width="1.28515625" customWidth="1"/>
    <col min="7699" max="7700" width="0" hidden="1" customWidth="1"/>
    <col min="7938" max="7938" width="9.85546875" customWidth="1"/>
    <col min="7939" max="7939" width="1.5703125" customWidth="1"/>
    <col min="7940" max="7940" width="17.7109375" customWidth="1"/>
    <col min="7941" max="7941" width="6.28515625" customWidth="1"/>
    <col min="7942" max="7942" width="15.5703125" customWidth="1"/>
    <col min="7943" max="7943" width="8.28515625" customWidth="1"/>
    <col min="7944" max="7944" width="9.42578125" customWidth="1"/>
    <col min="7945" max="7945" width="4.140625" customWidth="1"/>
    <col min="7946" max="7946" width="20.140625" customWidth="1"/>
    <col min="7947" max="7947" width="7.5703125" customWidth="1"/>
    <col min="7948" max="7948" width="11.85546875" customWidth="1"/>
    <col min="7949" max="7949" width="9.7109375" bestFit="1" customWidth="1"/>
    <col min="7950" max="7950" width="20.140625" customWidth="1"/>
    <col min="7951" max="7951" width="11" customWidth="1"/>
    <col min="7952" max="7952" width="14.140625" customWidth="1"/>
    <col min="7953" max="7953" width="9.42578125" customWidth="1"/>
    <col min="7954" max="7954" width="1.28515625" customWidth="1"/>
    <col min="7955" max="7956" width="0" hidden="1" customWidth="1"/>
    <col min="8194" max="8194" width="9.85546875" customWidth="1"/>
    <col min="8195" max="8195" width="1.5703125" customWidth="1"/>
    <col min="8196" max="8196" width="17.7109375" customWidth="1"/>
    <col min="8197" max="8197" width="6.28515625" customWidth="1"/>
    <col min="8198" max="8198" width="15.5703125" customWidth="1"/>
    <col min="8199" max="8199" width="8.28515625" customWidth="1"/>
    <col min="8200" max="8200" width="9.42578125" customWidth="1"/>
    <col min="8201" max="8201" width="4.140625" customWidth="1"/>
    <col min="8202" max="8202" width="20.140625" customWidth="1"/>
    <col min="8203" max="8203" width="7.5703125" customWidth="1"/>
    <col min="8204" max="8204" width="11.85546875" customWidth="1"/>
    <col min="8205" max="8205" width="9.7109375" bestFit="1" customWidth="1"/>
    <col min="8206" max="8206" width="20.140625" customWidth="1"/>
    <col min="8207" max="8207" width="11" customWidth="1"/>
    <col min="8208" max="8208" width="14.140625" customWidth="1"/>
    <col min="8209" max="8209" width="9.42578125" customWidth="1"/>
    <col min="8210" max="8210" width="1.28515625" customWidth="1"/>
    <col min="8211" max="8212" width="0" hidden="1" customWidth="1"/>
    <col min="8450" max="8450" width="9.85546875" customWidth="1"/>
    <col min="8451" max="8451" width="1.5703125" customWidth="1"/>
    <col min="8452" max="8452" width="17.7109375" customWidth="1"/>
    <col min="8453" max="8453" width="6.28515625" customWidth="1"/>
    <col min="8454" max="8454" width="15.5703125" customWidth="1"/>
    <col min="8455" max="8455" width="8.28515625" customWidth="1"/>
    <col min="8456" max="8456" width="9.42578125" customWidth="1"/>
    <col min="8457" max="8457" width="4.140625" customWidth="1"/>
    <col min="8458" max="8458" width="20.140625" customWidth="1"/>
    <col min="8459" max="8459" width="7.5703125" customWidth="1"/>
    <col min="8460" max="8460" width="11.85546875" customWidth="1"/>
    <col min="8461" max="8461" width="9.7109375" bestFit="1" customWidth="1"/>
    <col min="8462" max="8462" width="20.140625" customWidth="1"/>
    <col min="8463" max="8463" width="11" customWidth="1"/>
    <col min="8464" max="8464" width="14.140625" customWidth="1"/>
    <col min="8465" max="8465" width="9.42578125" customWidth="1"/>
    <col min="8466" max="8466" width="1.28515625" customWidth="1"/>
    <col min="8467" max="8468" width="0" hidden="1" customWidth="1"/>
    <col min="8706" max="8706" width="9.85546875" customWidth="1"/>
    <col min="8707" max="8707" width="1.5703125" customWidth="1"/>
    <col min="8708" max="8708" width="17.7109375" customWidth="1"/>
    <col min="8709" max="8709" width="6.28515625" customWidth="1"/>
    <col min="8710" max="8710" width="15.5703125" customWidth="1"/>
    <col min="8711" max="8711" width="8.28515625" customWidth="1"/>
    <col min="8712" max="8712" width="9.42578125" customWidth="1"/>
    <col min="8713" max="8713" width="4.140625" customWidth="1"/>
    <col min="8714" max="8714" width="20.140625" customWidth="1"/>
    <col min="8715" max="8715" width="7.5703125" customWidth="1"/>
    <col min="8716" max="8716" width="11.85546875" customWidth="1"/>
    <col min="8717" max="8717" width="9.7109375" bestFit="1" customWidth="1"/>
    <col min="8718" max="8718" width="20.140625" customWidth="1"/>
    <col min="8719" max="8719" width="11" customWidth="1"/>
    <col min="8720" max="8720" width="14.140625" customWidth="1"/>
    <col min="8721" max="8721" width="9.42578125" customWidth="1"/>
    <col min="8722" max="8722" width="1.28515625" customWidth="1"/>
    <col min="8723" max="8724" width="0" hidden="1" customWidth="1"/>
    <col min="8962" max="8962" width="9.85546875" customWidth="1"/>
    <col min="8963" max="8963" width="1.5703125" customWidth="1"/>
    <col min="8964" max="8964" width="17.7109375" customWidth="1"/>
    <col min="8965" max="8965" width="6.28515625" customWidth="1"/>
    <col min="8966" max="8966" width="15.5703125" customWidth="1"/>
    <col min="8967" max="8967" width="8.28515625" customWidth="1"/>
    <col min="8968" max="8968" width="9.42578125" customWidth="1"/>
    <col min="8969" max="8969" width="4.140625" customWidth="1"/>
    <col min="8970" max="8970" width="20.140625" customWidth="1"/>
    <col min="8971" max="8971" width="7.5703125" customWidth="1"/>
    <col min="8972" max="8972" width="11.85546875" customWidth="1"/>
    <col min="8973" max="8973" width="9.7109375" bestFit="1" customWidth="1"/>
    <col min="8974" max="8974" width="20.140625" customWidth="1"/>
    <col min="8975" max="8975" width="11" customWidth="1"/>
    <col min="8976" max="8976" width="14.140625" customWidth="1"/>
    <col min="8977" max="8977" width="9.42578125" customWidth="1"/>
    <col min="8978" max="8978" width="1.28515625" customWidth="1"/>
    <col min="8979" max="8980" width="0" hidden="1" customWidth="1"/>
    <col min="9218" max="9218" width="9.85546875" customWidth="1"/>
    <col min="9219" max="9219" width="1.5703125" customWidth="1"/>
    <col min="9220" max="9220" width="17.7109375" customWidth="1"/>
    <col min="9221" max="9221" width="6.28515625" customWidth="1"/>
    <col min="9222" max="9222" width="15.5703125" customWidth="1"/>
    <col min="9223" max="9223" width="8.28515625" customWidth="1"/>
    <col min="9224" max="9224" width="9.42578125" customWidth="1"/>
    <col min="9225" max="9225" width="4.140625" customWidth="1"/>
    <col min="9226" max="9226" width="20.140625" customWidth="1"/>
    <col min="9227" max="9227" width="7.5703125" customWidth="1"/>
    <col min="9228" max="9228" width="11.85546875" customWidth="1"/>
    <col min="9229" max="9229" width="9.7109375" bestFit="1" customWidth="1"/>
    <col min="9230" max="9230" width="20.140625" customWidth="1"/>
    <col min="9231" max="9231" width="11" customWidth="1"/>
    <col min="9232" max="9232" width="14.140625" customWidth="1"/>
    <col min="9233" max="9233" width="9.42578125" customWidth="1"/>
    <col min="9234" max="9234" width="1.28515625" customWidth="1"/>
    <col min="9235" max="9236" width="0" hidden="1" customWidth="1"/>
    <col min="9474" max="9474" width="9.85546875" customWidth="1"/>
    <col min="9475" max="9475" width="1.5703125" customWidth="1"/>
    <col min="9476" max="9476" width="17.7109375" customWidth="1"/>
    <col min="9477" max="9477" width="6.28515625" customWidth="1"/>
    <col min="9478" max="9478" width="15.5703125" customWidth="1"/>
    <col min="9479" max="9479" width="8.28515625" customWidth="1"/>
    <col min="9480" max="9480" width="9.42578125" customWidth="1"/>
    <col min="9481" max="9481" width="4.140625" customWidth="1"/>
    <col min="9482" max="9482" width="20.140625" customWidth="1"/>
    <col min="9483" max="9483" width="7.5703125" customWidth="1"/>
    <col min="9484" max="9484" width="11.85546875" customWidth="1"/>
    <col min="9485" max="9485" width="9.7109375" bestFit="1" customWidth="1"/>
    <col min="9486" max="9486" width="20.140625" customWidth="1"/>
    <col min="9487" max="9487" width="11" customWidth="1"/>
    <col min="9488" max="9488" width="14.140625" customWidth="1"/>
    <col min="9489" max="9489" width="9.42578125" customWidth="1"/>
    <col min="9490" max="9490" width="1.28515625" customWidth="1"/>
    <col min="9491" max="9492" width="0" hidden="1" customWidth="1"/>
    <col min="9730" max="9730" width="9.85546875" customWidth="1"/>
    <col min="9731" max="9731" width="1.5703125" customWidth="1"/>
    <col min="9732" max="9732" width="17.7109375" customWidth="1"/>
    <col min="9733" max="9733" width="6.28515625" customWidth="1"/>
    <col min="9734" max="9734" width="15.5703125" customWidth="1"/>
    <col min="9735" max="9735" width="8.28515625" customWidth="1"/>
    <col min="9736" max="9736" width="9.42578125" customWidth="1"/>
    <col min="9737" max="9737" width="4.140625" customWidth="1"/>
    <col min="9738" max="9738" width="20.140625" customWidth="1"/>
    <col min="9739" max="9739" width="7.5703125" customWidth="1"/>
    <col min="9740" max="9740" width="11.85546875" customWidth="1"/>
    <col min="9741" max="9741" width="9.7109375" bestFit="1" customWidth="1"/>
    <col min="9742" max="9742" width="20.140625" customWidth="1"/>
    <col min="9743" max="9743" width="11" customWidth="1"/>
    <col min="9744" max="9744" width="14.140625" customWidth="1"/>
    <col min="9745" max="9745" width="9.42578125" customWidth="1"/>
    <col min="9746" max="9746" width="1.28515625" customWidth="1"/>
    <col min="9747" max="9748" width="0" hidden="1" customWidth="1"/>
    <col min="9986" max="9986" width="9.85546875" customWidth="1"/>
    <col min="9987" max="9987" width="1.5703125" customWidth="1"/>
    <col min="9988" max="9988" width="17.7109375" customWidth="1"/>
    <col min="9989" max="9989" width="6.28515625" customWidth="1"/>
    <col min="9990" max="9990" width="15.5703125" customWidth="1"/>
    <col min="9991" max="9991" width="8.28515625" customWidth="1"/>
    <col min="9992" max="9992" width="9.42578125" customWidth="1"/>
    <col min="9993" max="9993" width="4.140625" customWidth="1"/>
    <col min="9994" max="9994" width="20.140625" customWidth="1"/>
    <col min="9995" max="9995" width="7.5703125" customWidth="1"/>
    <col min="9996" max="9996" width="11.85546875" customWidth="1"/>
    <col min="9997" max="9997" width="9.7109375" bestFit="1" customWidth="1"/>
    <col min="9998" max="9998" width="20.140625" customWidth="1"/>
    <col min="9999" max="9999" width="11" customWidth="1"/>
    <col min="10000" max="10000" width="14.140625" customWidth="1"/>
    <col min="10001" max="10001" width="9.42578125" customWidth="1"/>
    <col min="10002" max="10002" width="1.28515625" customWidth="1"/>
    <col min="10003" max="10004" width="0" hidden="1" customWidth="1"/>
    <col min="10242" max="10242" width="9.85546875" customWidth="1"/>
    <col min="10243" max="10243" width="1.5703125" customWidth="1"/>
    <col min="10244" max="10244" width="17.7109375" customWidth="1"/>
    <col min="10245" max="10245" width="6.28515625" customWidth="1"/>
    <col min="10246" max="10246" width="15.5703125" customWidth="1"/>
    <col min="10247" max="10247" width="8.28515625" customWidth="1"/>
    <col min="10248" max="10248" width="9.42578125" customWidth="1"/>
    <col min="10249" max="10249" width="4.140625" customWidth="1"/>
    <col min="10250" max="10250" width="20.140625" customWidth="1"/>
    <col min="10251" max="10251" width="7.5703125" customWidth="1"/>
    <col min="10252" max="10252" width="11.85546875" customWidth="1"/>
    <col min="10253" max="10253" width="9.7109375" bestFit="1" customWidth="1"/>
    <col min="10254" max="10254" width="20.140625" customWidth="1"/>
    <col min="10255" max="10255" width="11" customWidth="1"/>
    <col min="10256" max="10256" width="14.140625" customWidth="1"/>
    <col min="10257" max="10257" width="9.42578125" customWidth="1"/>
    <col min="10258" max="10258" width="1.28515625" customWidth="1"/>
    <col min="10259" max="10260" width="0" hidden="1" customWidth="1"/>
    <col min="10498" max="10498" width="9.85546875" customWidth="1"/>
    <col min="10499" max="10499" width="1.5703125" customWidth="1"/>
    <col min="10500" max="10500" width="17.7109375" customWidth="1"/>
    <col min="10501" max="10501" width="6.28515625" customWidth="1"/>
    <col min="10502" max="10502" width="15.5703125" customWidth="1"/>
    <col min="10503" max="10503" width="8.28515625" customWidth="1"/>
    <col min="10504" max="10504" width="9.42578125" customWidth="1"/>
    <col min="10505" max="10505" width="4.140625" customWidth="1"/>
    <col min="10506" max="10506" width="20.140625" customWidth="1"/>
    <col min="10507" max="10507" width="7.5703125" customWidth="1"/>
    <col min="10508" max="10508" width="11.85546875" customWidth="1"/>
    <col min="10509" max="10509" width="9.7109375" bestFit="1" customWidth="1"/>
    <col min="10510" max="10510" width="20.140625" customWidth="1"/>
    <col min="10511" max="10511" width="11" customWidth="1"/>
    <col min="10512" max="10512" width="14.140625" customWidth="1"/>
    <col min="10513" max="10513" width="9.42578125" customWidth="1"/>
    <col min="10514" max="10514" width="1.28515625" customWidth="1"/>
    <col min="10515" max="10516" width="0" hidden="1" customWidth="1"/>
    <col min="10754" max="10754" width="9.85546875" customWidth="1"/>
    <col min="10755" max="10755" width="1.5703125" customWidth="1"/>
    <col min="10756" max="10756" width="17.7109375" customWidth="1"/>
    <col min="10757" max="10757" width="6.28515625" customWidth="1"/>
    <col min="10758" max="10758" width="15.5703125" customWidth="1"/>
    <col min="10759" max="10759" width="8.28515625" customWidth="1"/>
    <col min="10760" max="10760" width="9.42578125" customWidth="1"/>
    <col min="10761" max="10761" width="4.140625" customWidth="1"/>
    <col min="10762" max="10762" width="20.140625" customWidth="1"/>
    <col min="10763" max="10763" width="7.5703125" customWidth="1"/>
    <col min="10764" max="10764" width="11.85546875" customWidth="1"/>
    <col min="10765" max="10765" width="9.7109375" bestFit="1" customWidth="1"/>
    <col min="10766" max="10766" width="20.140625" customWidth="1"/>
    <col min="10767" max="10767" width="11" customWidth="1"/>
    <col min="10768" max="10768" width="14.140625" customWidth="1"/>
    <col min="10769" max="10769" width="9.42578125" customWidth="1"/>
    <col min="10770" max="10770" width="1.28515625" customWidth="1"/>
    <col min="10771" max="10772" width="0" hidden="1" customWidth="1"/>
    <col min="11010" max="11010" width="9.85546875" customWidth="1"/>
    <col min="11011" max="11011" width="1.5703125" customWidth="1"/>
    <col min="11012" max="11012" width="17.7109375" customWidth="1"/>
    <col min="11013" max="11013" width="6.28515625" customWidth="1"/>
    <col min="11014" max="11014" width="15.5703125" customWidth="1"/>
    <col min="11015" max="11015" width="8.28515625" customWidth="1"/>
    <col min="11016" max="11016" width="9.42578125" customWidth="1"/>
    <col min="11017" max="11017" width="4.140625" customWidth="1"/>
    <col min="11018" max="11018" width="20.140625" customWidth="1"/>
    <col min="11019" max="11019" width="7.5703125" customWidth="1"/>
    <col min="11020" max="11020" width="11.85546875" customWidth="1"/>
    <col min="11021" max="11021" width="9.7109375" bestFit="1" customWidth="1"/>
    <col min="11022" max="11022" width="20.140625" customWidth="1"/>
    <col min="11023" max="11023" width="11" customWidth="1"/>
    <col min="11024" max="11024" width="14.140625" customWidth="1"/>
    <col min="11025" max="11025" width="9.42578125" customWidth="1"/>
    <col min="11026" max="11026" width="1.28515625" customWidth="1"/>
    <col min="11027" max="11028" width="0" hidden="1" customWidth="1"/>
    <col min="11266" max="11266" width="9.85546875" customWidth="1"/>
    <col min="11267" max="11267" width="1.5703125" customWidth="1"/>
    <col min="11268" max="11268" width="17.7109375" customWidth="1"/>
    <col min="11269" max="11269" width="6.28515625" customWidth="1"/>
    <col min="11270" max="11270" width="15.5703125" customWidth="1"/>
    <col min="11271" max="11271" width="8.28515625" customWidth="1"/>
    <col min="11272" max="11272" width="9.42578125" customWidth="1"/>
    <col min="11273" max="11273" width="4.140625" customWidth="1"/>
    <col min="11274" max="11274" width="20.140625" customWidth="1"/>
    <col min="11275" max="11275" width="7.5703125" customWidth="1"/>
    <col min="11276" max="11276" width="11.85546875" customWidth="1"/>
    <col min="11277" max="11277" width="9.7109375" bestFit="1" customWidth="1"/>
    <col min="11278" max="11278" width="20.140625" customWidth="1"/>
    <col min="11279" max="11279" width="11" customWidth="1"/>
    <col min="11280" max="11280" width="14.140625" customWidth="1"/>
    <col min="11281" max="11281" width="9.42578125" customWidth="1"/>
    <col min="11282" max="11282" width="1.28515625" customWidth="1"/>
    <col min="11283" max="11284" width="0" hidden="1" customWidth="1"/>
    <col min="11522" max="11522" width="9.85546875" customWidth="1"/>
    <col min="11523" max="11523" width="1.5703125" customWidth="1"/>
    <col min="11524" max="11524" width="17.7109375" customWidth="1"/>
    <col min="11525" max="11525" width="6.28515625" customWidth="1"/>
    <col min="11526" max="11526" width="15.5703125" customWidth="1"/>
    <col min="11527" max="11527" width="8.28515625" customWidth="1"/>
    <col min="11528" max="11528" width="9.42578125" customWidth="1"/>
    <col min="11529" max="11529" width="4.140625" customWidth="1"/>
    <col min="11530" max="11530" width="20.140625" customWidth="1"/>
    <col min="11531" max="11531" width="7.5703125" customWidth="1"/>
    <col min="11532" max="11532" width="11.85546875" customWidth="1"/>
    <col min="11533" max="11533" width="9.7109375" bestFit="1" customWidth="1"/>
    <col min="11534" max="11534" width="20.140625" customWidth="1"/>
    <col min="11535" max="11535" width="11" customWidth="1"/>
    <col min="11536" max="11536" width="14.140625" customWidth="1"/>
    <col min="11537" max="11537" width="9.42578125" customWidth="1"/>
    <col min="11538" max="11538" width="1.28515625" customWidth="1"/>
    <col min="11539" max="11540" width="0" hidden="1" customWidth="1"/>
    <col min="11778" max="11778" width="9.85546875" customWidth="1"/>
    <col min="11779" max="11779" width="1.5703125" customWidth="1"/>
    <col min="11780" max="11780" width="17.7109375" customWidth="1"/>
    <col min="11781" max="11781" width="6.28515625" customWidth="1"/>
    <col min="11782" max="11782" width="15.5703125" customWidth="1"/>
    <col min="11783" max="11783" width="8.28515625" customWidth="1"/>
    <col min="11784" max="11784" width="9.42578125" customWidth="1"/>
    <col min="11785" max="11785" width="4.140625" customWidth="1"/>
    <col min="11786" max="11786" width="20.140625" customWidth="1"/>
    <col min="11787" max="11787" width="7.5703125" customWidth="1"/>
    <col min="11788" max="11788" width="11.85546875" customWidth="1"/>
    <col min="11789" max="11789" width="9.7109375" bestFit="1" customWidth="1"/>
    <col min="11790" max="11790" width="20.140625" customWidth="1"/>
    <col min="11791" max="11791" width="11" customWidth="1"/>
    <col min="11792" max="11792" width="14.140625" customWidth="1"/>
    <col min="11793" max="11793" width="9.42578125" customWidth="1"/>
    <col min="11794" max="11794" width="1.28515625" customWidth="1"/>
    <col min="11795" max="11796" width="0" hidden="1" customWidth="1"/>
    <col min="12034" max="12034" width="9.85546875" customWidth="1"/>
    <col min="12035" max="12035" width="1.5703125" customWidth="1"/>
    <col min="12036" max="12036" width="17.7109375" customWidth="1"/>
    <col min="12037" max="12037" width="6.28515625" customWidth="1"/>
    <col min="12038" max="12038" width="15.5703125" customWidth="1"/>
    <col min="12039" max="12039" width="8.28515625" customWidth="1"/>
    <col min="12040" max="12040" width="9.42578125" customWidth="1"/>
    <col min="12041" max="12041" width="4.140625" customWidth="1"/>
    <col min="12042" max="12042" width="20.140625" customWidth="1"/>
    <col min="12043" max="12043" width="7.5703125" customWidth="1"/>
    <col min="12044" max="12044" width="11.85546875" customWidth="1"/>
    <col min="12045" max="12045" width="9.7109375" bestFit="1" customWidth="1"/>
    <col min="12046" max="12046" width="20.140625" customWidth="1"/>
    <col min="12047" max="12047" width="11" customWidth="1"/>
    <col min="12048" max="12048" width="14.140625" customWidth="1"/>
    <col min="12049" max="12049" width="9.42578125" customWidth="1"/>
    <col min="12050" max="12050" width="1.28515625" customWidth="1"/>
    <col min="12051" max="12052" width="0" hidden="1" customWidth="1"/>
    <col min="12290" max="12290" width="9.85546875" customWidth="1"/>
    <col min="12291" max="12291" width="1.5703125" customWidth="1"/>
    <col min="12292" max="12292" width="17.7109375" customWidth="1"/>
    <col min="12293" max="12293" width="6.28515625" customWidth="1"/>
    <col min="12294" max="12294" width="15.5703125" customWidth="1"/>
    <col min="12295" max="12295" width="8.28515625" customWidth="1"/>
    <col min="12296" max="12296" width="9.42578125" customWidth="1"/>
    <col min="12297" max="12297" width="4.140625" customWidth="1"/>
    <col min="12298" max="12298" width="20.140625" customWidth="1"/>
    <col min="12299" max="12299" width="7.5703125" customWidth="1"/>
    <col min="12300" max="12300" width="11.85546875" customWidth="1"/>
    <col min="12301" max="12301" width="9.7109375" bestFit="1" customWidth="1"/>
    <col min="12302" max="12302" width="20.140625" customWidth="1"/>
    <col min="12303" max="12303" width="11" customWidth="1"/>
    <col min="12304" max="12304" width="14.140625" customWidth="1"/>
    <col min="12305" max="12305" width="9.42578125" customWidth="1"/>
    <col min="12306" max="12306" width="1.28515625" customWidth="1"/>
    <col min="12307" max="12308" width="0" hidden="1" customWidth="1"/>
    <col min="12546" max="12546" width="9.85546875" customWidth="1"/>
    <col min="12547" max="12547" width="1.5703125" customWidth="1"/>
    <col min="12548" max="12548" width="17.7109375" customWidth="1"/>
    <col min="12549" max="12549" width="6.28515625" customWidth="1"/>
    <col min="12550" max="12550" width="15.5703125" customWidth="1"/>
    <col min="12551" max="12551" width="8.28515625" customWidth="1"/>
    <col min="12552" max="12552" width="9.42578125" customWidth="1"/>
    <col min="12553" max="12553" width="4.140625" customWidth="1"/>
    <col min="12554" max="12554" width="20.140625" customWidth="1"/>
    <col min="12555" max="12555" width="7.5703125" customWidth="1"/>
    <col min="12556" max="12556" width="11.85546875" customWidth="1"/>
    <col min="12557" max="12557" width="9.7109375" bestFit="1" customWidth="1"/>
    <col min="12558" max="12558" width="20.140625" customWidth="1"/>
    <col min="12559" max="12559" width="11" customWidth="1"/>
    <col min="12560" max="12560" width="14.140625" customWidth="1"/>
    <col min="12561" max="12561" width="9.42578125" customWidth="1"/>
    <col min="12562" max="12562" width="1.28515625" customWidth="1"/>
    <col min="12563" max="12564" width="0" hidden="1" customWidth="1"/>
    <col min="12802" max="12802" width="9.85546875" customWidth="1"/>
    <col min="12803" max="12803" width="1.5703125" customWidth="1"/>
    <col min="12804" max="12804" width="17.7109375" customWidth="1"/>
    <col min="12805" max="12805" width="6.28515625" customWidth="1"/>
    <col min="12806" max="12806" width="15.5703125" customWidth="1"/>
    <col min="12807" max="12807" width="8.28515625" customWidth="1"/>
    <col min="12808" max="12808" width="9.42578125" customWidth="1"/>
    <col min="12809" max="12809" width="4.140625" customWidth="1"/>
    <col min="12810" max="12810" width="20.140625" customWidth="1"/>
    <col min="12811" max="12811" width="7.5703125" customWidth="1"/>
    <col min="12812" max="12812" width="11.85546875" customWidth="1"/>
    <col min="12813" max="12813" width="9.7109375" bestFit="1" customWidth="1"/>
    <col min="12814" max="12814" width="20.140625" customWidth="1"/>
    <col min="12815" max="12815" width="11" customWidth="1"/>
    <col min="12816" max="12816" width="14.140625" customWidth="1"/>
    <col min="12817" max="12817" width="9.42578125" customWidth="1"/>
    <col min="12818" max="12818" width="1.28515625" customWidth="1"/>
    <col min="12819" max="12820" width="0" hidden="1" customWidth="1"/>
    <col min="13058" max="13058" width="9.85546875" customWidth="1"/>
    <col min="13059" max="13059" width="1.5703125" customWidth="1"/>
    <col min="13060" max="13060" width="17.7109375" customWidth="1"/>
    <col min="13061" max="13061" width="6.28515625" customWidth="1"/>
    <col min="13062" max="13062" width="15.5703125" customWidth="1"/>
    <col min="13063" max="13063" width="8.28515625" customWidth="1"/>
    <col min="13064" max="13064" width="9.42578125" customWidth="1"/>
    <col min="13065" max="13065" width="4.140625" customWidth="1"/>
    <col min="13066" max="13066" width="20.140625" customWidth="1"/>
    <col min="13067" max="13067" width="7.5703125" customWidth="1"/>
    <col min="13068" max="13068" width="11.85546875" customWidth="1"/>
    <col min="13069" max="13069" width="9.7109375" bestFit="1" customWidth="1"/>
    <col min="13070" max="13070" width="20.140625" customWidth="1"/>
    <col min="13071" max="13071" width="11" customWidth="1"/>
    <col min="13072" max="13072" width="14.140625" customWidth="1"/>
    <col min="13073" max="13073" width="9.42578125" customWidth="1"/>
    <col min="13074" max="13074" width="1.28515625" customWidth="1"/>
    <col min="13075" max="13076" width="0" hidden="1" customWidth="1"/>
    <col min="13314" max="13314" width="9.85546875" customWidth="1"/>
    <col min="13315" max="13315" width="1.5703125" customWidth="1"/>
    <col min="13316" max="13316" width="17.7109375" customWidth="1"/>
    <col min="13317" max="13317" width="6.28515625" customWidth="1"/>
    <col min="13318" max="13318" width="15.5703125" customWidth="1"/>
    <col min="13319" max="13319" width="8.28515625" customWidth="1"/>
    <col min="13320" max="13320" width="9.42578125" customWidth="1"/>
    <col min="13321" max="13321" width="4.140625" customWidth="1"/>
    <col min="13322" max="13322" width="20.140625" customWidth="1"/>
    <col min="13323" max="13323" width="7.5703125" customWidth="1"/>
    <col min="13324" max="13324" width="11.85546875" customWidth="1"/>
    <col min="13325" max="13325" width="9.7109375" bestFit="1" customWidth="1"/>
    <col min="13326" max="13326" width="20.140625" customWidth="1"/>
    <col min="13327" max="13327" width="11" customWidth="1"/>
    <col min="13328" max="13328" width="14.140625" customWidth="1"/>
    <col min="13329" max="13329" width="9.42578125" customWidth="1"/>
    <col min="13330" max="13330" width="1.28515625" customWidth="1"/>
    <col min="13331" max="13332" width="0" hidden="1" customWidth="1"/>
    <col min="13570" max="13570" width="9.85546875" customWidth="1"/>
    <col min="13571" max="13571" width="1.5703125" customWidth="1"/>
    <col min="13572" max="13572" width="17.7109375" customWidth="1"/>
    <col min="13573" max="13573" width="6.28515625" customWidth="1"/>
    <col min="13574" max="13574" width="15.5703125" customWidth="1"/>
    <col min="13575" max="13575" width="8.28515625" customWidth="1"/>
    <col min="13576" max="13576" width="9.42578125" customWidth="1"/>
    <col min="13577" max="13577" width="4.140625" customWidth="1"/>
    <col min="13578" max="13578" width="20.140625" customWidth="1"/>
    <col min="13579" max="13579" width="7.5703125" customWidth="1"/>
    <col min="13580" max="13580" width="11.85546875" customWidth="1"/>
    <col min="13581" max="13581" width="9.7109375" bestFit="1" customWidth="1"/>
    <col min="13582" max="13582" width="20.140625" customWidth="1"/>
    <col min="13583" max="13583" width="11" customWidth="1"/>
    <col min="13584" max="13584" width="14.140625" customWidth="1"/>
    <col min="13585" max="13585" width="9.42578125" customWidth="1"/>
    <col min="13586" max="13586" width="1.28515625" customWidth="1"/>
    <col min="13587" max="13588" width="0" hidden="1" customWidth="1"/>
    <col min="13826" max="13826" width="9.85546875" customWidth="1"/>
    <col min="13827" max="13827" width="1.5703125" customWidth="1"/>
    <col min="13828" max="13828" width="17.7109375" customWidth="1"/>
    <col min="13829" max="13829" width="6.28515625" customWidth="1"/>
    <col min="13830" max="13830" width="15.5703125" customWidth="1"/>
    <col min="13831" max="13831" width="8.28515625" customWidth="1"/>
    <col min="13832" max="13832" width="9.42578125" customWidth="1"/>
    <col min="13833" max="13833" width="4.140625" customWidth="1"/>
    <col min="13834" max="13834" width="20.140625" customWidth="1"/>
    <col min="13835" max="13835" width="7.5703125" customWidth="1"/>
    <col min="13836" max="13836" width="11.85546875" customWidth="1"/>
    <col min="13837" max="13837" width="9.7109375" bestFit="1" customWidth="1"/>
    <col min="13838" max="13838" width="20.140625" customWidth="1"/>
    <col min="13839" max="13839" width="11" customWidth="1"/>
    <col min="13840" max="13840" width="14.140625" customWidth="1"/>
    <col min="13841" max="13841" width="9.42578125" customWidth="1"/>
    <col min="13842" max="13842" width="1.28515625" customWidth="1"/>
    <col min="13843" max="13844" width="0" hidden="1" customWidth="1"/>
    <col min="14082" max="14082" width="9.85546875" customWidth="1"/>
    <col min="14083" max="14083" width="1.5703125" customWidth="1"/>
    <col min="14084" max="14084" width="17.7109375" customWidth="1"/>
    <col min="14085" max="14085" width="6.28515625" customWidth="1"/>
    <col min="14086" max="14086" width="15.5703125" customWidth="1"/>
    <col min="14087" max="14087" width="8.28515625" customWidth="1"/>
    <col min="14088" max="14088" width="9.42578125" customWidth="1"/>
    <col min="14089" max="14089" width="4.140625" customWidth="1"/>
    <col min="14090" max="14090" width="20.140625" customWidth="1"/>
    <col min="14091" max="14091" width="7.5703125" customWidth="1"/>
    <col min="14092" max="14092" width="11.85546875" customWidth="1"/>
    <col min="14093" max="14093" width="9.7109375" bestFit="1" customWidth="1"/>
    <col min="14094" max="14094" width="20.140625" customWidth="1"/>
    <col min="14095" max="14095" width="11" customWidth="1"/>
    <col min="14096" max="14096" width="14.140625" customWidth="1"/>
    <col min="14097" max="14097" width="9.42578125" customWidth="1"/>
    <col min="14098" max="14098" width="1.28515625" customWidth="1"/>
    <col min="14099" max="14100" width="0" hidden="1" customWidth="1"/>
    <col min="14338" max="14338" width="9.85546875" customWidth="1"/>
    <col min="14339" max="14339" width="1.5703125" customWidth="1"/>
    <col min="14340" max="14340" width="17.7109375" customWidth="1"/>
    <col min="14341" max="14341" width="6.28515625" customWidth="1"/>
    <col min="14342" max="14342" width="15.5703125" customWidth="1"/>
    <col min="14343" max="14343" width="8.28515625" customWidth="1"/>
    <col min="14344" max="14344" width="9.42578125" customWidth="1"/>
    <col min="14345" max="14345" width="4.140625" customWidth="1"/>
    <col min="14346" max="14346" width="20.140625" customWidth="1"/>
    <col min="14347" max="14347" width="7.5703125" customWidth="1"/>
    <col min="14348" max="14348" width="11.85546875" customWidth="1"/>
    <col min="14349" max="14349" width="9.7109375" bestFit="1" customWidth="1"/>
    <col min="14350" max="14350" width="20.140625" customWidth="1"/>
    <col min="14351" max="14351" width="11" customWidth="1"/>
    <col min="14352" max="14352" width="14.140625" customWidth="1"/>
    <col min="14353" max="14353" width="9.42578125" customWidth="1"/>
    <col min="14354" max="14354" width="1.28515625" customWidth="1"/>
    <col min="14355" max="14356" width="0" hidden="1" customWidth="1"/>
    <col min="14594" max="14594" width="9.85546875" customWidth="1"/>
    <col min="14595" max="14595" width="1.5703125" customWidth="1"/>
    <col min="14596" max="14596" width="17.7109375" customWidth="1"/>
    <col min="14597" max="14597" width="6.28515625" customWidth="1"/>
    <col min="14598" max="14598" width="15.5703125" customWidth="1"/>
    <col min="14599" max="14599" width="8.28515625" customWidth="1"/>
    <col min="14600" max="14600" width="9.42578125" customWidth="1"/>
    <col min="14601" max="14601" width="4.140625" customWidth="1"/>
    <col min="14602" max="14602" width="20.140625" customWidth="1"/>
    <col min="14603" max="14603" width="7.5703125" customWidth="1"/>
    <col min="14604" max="14604" width="11.85546875" customWidth="1"/>
    <col min="14605" max="14605" width="9.7109375" bestFit="1" customWidth="1"/>
    <col min="14606" max="14606" width="20.140625" customWidth="1"/>
    <col min="14607" max="14607" width="11" customWidth="1"/>
    <col min="14608" max="14608" width="14.140625" customWidth="1"/>
    <col min="14609" max="14609" width="9.42578125" customWidth="1"/>
    <col min="14610" max="14610" width="1.28515625" customWidth="1"/>
    <col min="14611" max="14612" width="0" hidden="1" customWidth="1"/>
    <col min="14850" max="14850" width="9.85546875" customWidth="1"/>
    <col min="14851" max="14851" width="1.5703125" customWidth="1"/>
    <col min="14852" max="14852" width="17.7109375" customWidth="1"/>
    <col min="14853" max="14853" width="6.28515625" customWidth="1"/>
    <col min="14854" max="14854" width="15.5703125" customWidth="1"/>
    <col min="14855" max="14855" width="8.28515625" customWidth="1"/>
    <col min="14856" max="14856" width="9.42578125" customWidth="1"/>
    <col min="14857" max="14857" width="4.140625" customWidth="1"/>
    <col min="14858" max="14858" width="20.140625" customWidth="1"/>
    <col min="14859" max="14859" width="7.5703125" customWidth="1"/>
    <col min="14860" max="14860" width="11.85546875" customWidth="1"/>
    <col min="14861" max="14861" width="9.7109375" bestFit="1" customWidth="1"/>
    <col min="14862" max="14862" width="20.140625" customWidth="1"/>
    <col min="14863" max="14863" width="11" customWidth="1"/>
    <col min="14864" max="14864" width="14.140625" customWidth="1"/>
    <col min="14865" max="14865" width="9.42578125" customWidth="1"/>
    <col min="14866" max="14866" width="1.28515625" customWidth="1"/>
    <col min="14867" max="14868" width="0" hidden="1" customWidth="1"/>
    <col min="15106" max="15106" width="9.85546875" customWidth="1"/>
    <col min="15107" max="15107" width="1.5703125" customWidth="1"/>
    <col min="15108" max="15108" width="17.7109375" customWidth="1"/>
    <col min="15109" max="15109" width="6.28515625" customWidth="1"/>
    <col min="15110" max="15110" width="15.5703125" customWidth="1"/>
    <col min="15111" max="15111" width="8.28515625" customWidth="1"/>
    <col min="15112" max="15112" width="9.42578125" customWidth="1"/>
    <col min="15113" max="15113" width="4.140625" customWidth="1"/>
    <col min="15114" max="15114" width="20.140625" customWidth="1"/>
    <col min="15115" max="15115" width="7.5703125" customWidth="1"/>
    <col min="15116" max="15116" width="11.85546875" customWidth="1"/>
    <col min="15117" max="15117" width="9.7109375" bestFit="1" customWidth="1"/>
    <col min="15118" max="15118" width="20.140625" customWidth="1"/>
    <col min="15119" max="15119" width="11" customWidth="1"/>
    <col min="15120" max="15120" width="14.140625" customWidth="1"/>
    <col min="15121" max="15121" width="9.42578125" customWidth="1"/>
    <col min="15122" max="15122" width="1.28515625" customWidth="1"/>
    <col min="15123" max="15124" width="0" hidden="1" customWidth="1"/>
    <col min="15362" max="15362" width="9.85546875" customWidth="1"/>
    <col min="15363" max="15363" width="1.5703125" customWidth="1"/>
    <col min="15364" max="15364" width="17.7109375" customWidth="1"/>
    <col min="15365" max="15365" width="6.28515625" customWidth="1"/>
    <col min="15366" max="15366" width="15.5703125" customWidth="1"/>
    <col min="15367" max="15367" width="8.28515625" customWidth="1"/>
    <col min="15368" max="15368" width="9.42578125" customWidth="1"/>
    <col min="15369" max="15369" width="4.140625" customWidth="1"/>
    <col min="15370" max="15370" width="20.140625" customWidth="1"/>
    <col min="15371" max="15371" width="7.5703125" customWidth="1"/>
    <col min="15372" max="15372" width="11.85546875" customWidth="1"/>
    <col min="15373" max="15373" width="9.7109375" bestFit="1" customWidth="1"/>
    <col min="15374" max="15374" width="20.140625" customWidth="1"/>
    <col min="15375" max="15375" width="11" customWidth="1"/>
    <col min="15376" max="15376" width="14.140625" customWidth="1"/>
    <col min="15377" max="15377" width="9.42578125" customWidth="1"/>
    <col min="15378" max="15378" width="1.28515625" customWidth="1"/>
    <col min="15379" max="15380" width="0" hidden="1" customWidth="1"/>
    <col min="15618" max="15618" width="9.85546875" customWidth="1"/>
    <col min="15619" max="15619" width="1.5703125" customWidth="1"/>
    <col min="15620" max="15620" width="17.7109375" customWidth="1"/>
    <col min="15621" max="15621" width="6.28515625" customWidth="1"/>
    <col min="15622" max="15622" width="15.5703125" customWidth="1"/>
    <col min="15623" max="15623" width="8.28515625" customWidth="1"/>
    <col min="15624" max="15624" width="9.42578125" customWidth="1"/>
    <col min="15625" max="15625" width="4.140625" customWidth="1"/>
    <col min="15626" max="15626" width="20.140625" customWidth="1"/>
    <col min="15627" max="15627" width="7.5703125" customWidth="1"/>
    <col min="15628" max="15628" width="11.85546875" customWidth="1"/>
    <col min="15629" max="15629" width="9.7109375" bestFit="1" customWidth="1"/>
    <col min="15630" max="15630" width="20.140625" customWidth="1"/>
    <col min="15631" max="15631" width="11" customWidth="1"/>
    <col min="15632" max="15632" width="14.140625" customWidth="1"/>
    <col min="15633" max="15633" width="9.42578125" customWidth="1"/>
    <col min="15634" max="15634" width="1.28515625" customWidth="1"/>
    <col min="15635" max="15636" width="0" hidden="1" customWidth="1"/>
    <col min="15874" max="15874" width="9.85546875" customWidth="1"/>
    <col min="15875" max="15875" width="1.5703125" customWidth="1"/>
    <col min="15876" max="15876" width="17.7109375" customWidth="1"/>
    <col min="15877" max="15877" width="6.28515625" customWidth="1"/>
    <col min="15878" max="15878" width="15.5703125" customWidth="1"/>
    <col min="15879" max="15879" width="8.28515625" customWidth="1"/>
    <col min="15880" max="15880" width="9.42578125" customWidth="1"/>
    <col min="15881" max="15881" width="4.140625" customWidth="1"/>
    <col min="15882" max="15882" width="20.140625" customWidth="1"/>
    <col min="15883" max="15883" width="7.5703125" customWidth="1"/>
    <col min="15884" max="15884" width="11.85546875" customWidth="1"/>
    <col min="15885" max="15885" width="9.7109375" bestFit="1" customWidth="1"/>
    <col min="15886" max="15886" width="20.140625" customWidth="1"/>
    <col min="15887" max="15887" width="11" customWidth="1"/>
    <col min="15888" max="15888" width="14.140625" customWidth="1"/>
    <col min="15889" max="15889" width="9.42578125" customWidth="1"/>
    <col min="15890" max="15890" width="1.28515625" customWidth="1"/>
    <col min="15891" max="15892" width="0" hidden="1" customWidth="1"/>
    <col min="16130" max="16130" width="9.85546875" customWidth="1"/>
    <col min="16131" max="16131" width="1.5703125" customWidth="1"/>
    <col min="16132" max="16132" width="17.7109375" customWidth="1"/>
    <col min="16133" max="16133" width="6.28515625" customWidth="1"/>
    <col min="16134" max="16134" width="15.5703125" customWidth="1"/>
    <col min="16135" max="16135" width="8.28515625" customWidth="1"/>
    <col min="16136" max="16136" width="9.42578125" customWidth="1"/>
    <col min="16137" max="16137" width="4.140625" customWidth="1"/>
    <col min="16138" max="16138" width="20.140625" customWidth="1"/>
    <col min="16139" max="16139" width="7.5703125" customWidth="1"/>
    <col min="16140" max="16140" width="11.85546875" customWidth="1"/>
    <col min="16141" max="16141" width="9.7109375" bestFit="1" customWidth="1"/>
    <col min="16142" max="16142" width="20.140625" customWidth="1"/>
    <col min="16143" max="16143" width="11" customWidth="1"/>
    <col min="16144" max="16144" width="14.140625" customWidth="1"/>
    <col min="16145" max="16145" width="9.42578125" customWidth="1"/>
    <col min="16146" max="16146" width="1.28515625" customWidth="1"/>
    <col min="16147" max="16148" width="0" hidden="1" customWidth="1"/>
  </cols>
  <sheetData>
    <row r="1" spans="1:20" ht="32.25" customHeight="1" x14ac:dyDescent="0.25">
      <c r="J1" s="364" t="s">
        <v>181</v>
      </c>
      <c r="K1" s="364"/>
      <c r="L1" s="364"/>
      <c r="M1" s="364"/>
      <c r="N1" s="364"/>
      <c r="O1" s="364"/>
      <c r="P1" s="364"/>
      <c r="Q1" s="364"/>
      <c r="R1" s="364"/>
      <c r="S1" s="364"/>
      <c r="T1" s="364"/>
    </row>
    <row r="2" spans="1:20" s="121" customFormat="1" ht="21" x14ac:dyDescent="0.35">
      <c r="A2" s="116"/>
      <c r="B2" s="116"/>
      <c r="C2" s="116" t="s">
        <v>116</v>
      </c>
      <c r="D2" s="116"/>
      <c r="E2" s="116"/>
      <c r="F2" s="360">
        <f>Данные!S4</f>
        <v>110</v>
      </c>
      <c r="G2" s="360"/>
      <c r="H2" s="360"/>
      <c r="I2" s="117" t="s">
        <v>55</v>
      </c>
      <c r="J2" s="361">
        <f>EOMONTH(Данные!G2,0)</f>
        <v>43738</v>
      </c>
      <c r="K2" s="361"/>
      <c r="L2" s="361"/>
      <c r="M2" s="361"/>
      <c r="N2" s="361"/>
      <c r="O2" s="118" t="s">
        <v>30</v>
      </c>
      <c r="P2" s="119"/>
      <c r="Q2" s="119"/>
      <c r="R2" s="119"/>
      <c r="S2" s="120"/>
      <c r="T2" s="120"/>
    </row>
    <row r="3" spans="1:20" s="121" customFormat="1" ht="21" x14ac:dyDescent="0.35">
      <c r="A3" s="116"/>
      <c r="B3" s="116"/>
      <c r="C3" s="122" t="s">
        <v>117</v>
      </c>
      <c r="D3" s="122"/>
      <c r="E3" s="122"/>
      <c r="F3" s="362"/>
      <c r="G3" s="362"/>
      <c r="H3" s="362"/>
      <c r="I3" s="122" t="s">
        <v>55</v>
      </c>
      <c r="J3" s="363"/>
      <c r="K3" s="363"/>
      <c r="L3" s="363"/>
      <c r="M3" s="363"/>
      <c r="N3" s="363"/>
      <c r="O3" s="123" t="s">
        <v>118</v>
      </c>
      <c r="P3" s="119"/>
      <c r="Q3" s="119"/>
      <c r="R3" s="119"/>
      <c r="S3" s="120"/>
      <c r="T3" s="120"/>
    </row>
    <row r="4" spans="1:20" x14ac:dyDescent="0.25">
      <c r="A4" s="18" t="s">
        <v>68</v>
      </c>
      <c r="B4" s="18"/>
      <c r="C4" s="352" t="s">
        <v>69</v>
      </c>
      <c r="D4" s="352"/>
      <c r="E4" s="352"/>
      <c r="F4" s="352"/>
      <c r="G4" s="352"/>
      <c r="H4" s="352"/>
      <c r="I4" s="352"/>
      <c r="J4" s="352"/>
      <c r="K4" s="352"/>
      <c r="L4" s="352"/>
      <c r="M4" s="352"/>
      <c r="N4" s="352"/>
      <c r="O4" s="1" t="s">
        <v>31</v>
      </c>
    </row>
    <row r="5" spans="1:20" x14ac:dyDescent="0.25">
      <c r="A5" s="18" t="s">
        <v>71</v>
      </c>
      <c r="B5" s="19"/>
      <c r="C5" s="353" t="s">
        <v>193</v>
      </c>
      <c r="D5" s="354"/>
      <c r="E5" s="354"/>
      <c r="F5" s="354"/>
      <c r="G5" s="354"/>
      <c r="H5" s="354"/>
      <c r="I5" s="354"/>
      <c r="J5" s="354"/>
      <c r="K5" s="354"/>
      <c r="L5" s="354"/>
      <c r="M5" s="354"/>
      <c r="N5" s="354"/>
      <c r="O5" s="1" t="s">
        <v>119</v>
      </c>
      <c r="Q5" s="20"/>
    </row>
    <row r="6" spans="1:20" x14ac:dyDescent="0.25">
      <c r="A6" s="18" t="s">
        <v>120</v>
      </c>
      <c r="B6" s="18"/>
      <c r="C6" s="124"/>
      <c r="D6" s="355" t="s">
        <v>121</v>
      </c>
      <c r="E6" s="355"/>
      <c r="F6" s="355"/>
      <c r="G6" s="355"/>
      <c r="H6" s="355"/>
      <c r="I6" s="355"/>
      <c r="J6" s="355"/>
      <c r="K6" s="355"/>
      <c r="L6" s="355"/>
      <c r="M6" s="355"/>
      <c r="N6" s="355"/>
      <c r="O6" s="1" t="s">
        <v>122</v>
      </c>
    </row>
    <row r="7" spans="1:20" x14ac:dyDescent="0.25">
      <c r="A7" s="18" t="s">
        <v>123</v>
      </c>
      <c r="B7" s="18"/>
      <c r="C7" s="124"/>
      <c r="D7" s="356" t="s">
        <v>43</v>
      </c>
      <c r="E7" s="356"/>
      <c r="F7" s="356"/>
      <c r="G7" s="356"/>
      <c r="H7" s="356"/>
      <c r="I7" s="356"/>
      <c r="J7" s="356"/>
      <c r="K7" s="356"/>
      <c r="L7" s="356"/>
      <c r="M7" s="356"/>
      <c r="N7" s="356"/>
      <c r="O7" s="1" t="s">
        <v>32</v>
      </c>
    </row>
    <row r="8" spans="1:20" ht="15" customHeight="1" x14ac:dyDescent="0.25">
      <c r="A8" s="18" t="s">
        <v>124</v>
      </c>
      <c r="B8" s="125"/>
      <c r="C8" s="126"/>
      <c r="D8" s="357" t="s">
        <v>43</v>
      </c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127" t="s">
        <v>33</v>
      </c>
      <c r="P8" s="125"/>
      <c r="Q8" s="125"/>
    </row>
    <row r="9" spans="1:20" x14ac:dyDescent="0.25">
      <c r="A9" t="s">
        <v>125</v>
      </c>
      <c r="B9" s="18"/>
      <c r="C9" s="124"/>
      <c r="D9" s="124"/>
      <c r="E9" s="358"/>
      <c r="F9" s="358"/>
      <c r="G9" s="358"/>
      <c r="H9" s="358"/>
      <c r="I9" s="358"/>
      <c r="J9" s="358"/>
      <c r="K9" s="358"/>
      <c r="L9" s="358"/>
      <c r="M9" s="358"/>
      <c r="N9" s="358"/>
      <c r="O9" s="1" t="s">
        <v>126</v>
      </c>
      <c r="Q9" s="20"/>
    </row>
    <row r="10" spans="1:20" x14ac:dyDescent="0.25">
      <c r="A10" s="18" t="s">
        <v>70</v>
      </c>
      <c r="B10" s="18"/>
      <c r="C10" s="346" t="s">
        <v>172</v>
      </c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  <c r="O10" s="1" t="s">
        <v>127</v>
      </c>
    </row>
    <row r="11" spans="1:20" x14ac:dyDescent="0.25">
      <c r="A11" s="18" t="s">
        <v>71</v>
      </c>
      <c r="C11" s="347" t="s">
        <v>194</v>
      </c>
      <c r="D11" s="347"/>
      <c r="E11" s="347"/>
      <c r="F11" s="347"/>
      <c r="G11" s="347"/>
      <c r="H11" s="347"/>
      <c r="I11" s="347"/>
      <c r="J11" s="347"/>
      <c r="K11" s="347"/>
      <c r="L11" s="347"/>
      <c r="M11" s="347"/>
      <c r="N11" s="347"/>
      <c r="O11" s="1" t="s">
        <v>34</v>
      </c>
    </row>
    <row r="12" spans="1:20" x14ac:dyDescent="0.25">
      <c r="A12" s="18" t="s">
        <v>72</v>
      </c>
      <c r="B12" s="18"/>
      <c r="C12" s="124"/>
      <c r="D12" s="359" t="s">
        <v>199</v>
      </c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1" t="s">
        <v>35</v>
      </c>
    </row>
    <row r="13" spans="1:20" x14ac:dyDescent="0.25">
      <c r="A13" s="18" t="s">
        <v>128</v>
      </c>
      <c r="B13" s="18"/>
      <c r="C13" s="124"/>
      <c r="D13" s="359" t="s">
        <v>129</v>
      </c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1" t="s">
        <v>36</v>
      </c>
    </row>
    <row r="14" spans="1:20" x14ac:dyDescent="0.25">
      <c r="A14" s="18" t="s">
        <v>184</v>
      </c>
      <c r="B14" s="18"/>
      <c r="C14" s="124"/>
      <c r="D14" s="124"/>
      <c r="E14" s="180"/>
      <c r="F14" s="180"/>
      <c r="G14" s="180"/>
      <c r="H14" s="180"/>
      <c r="I14" s="184"/>
      <c r="J14" s="184"/>
      <c r="K14" s="184"/>
      <c r="L14" s="184"/>
      <c r="M14" s="184"/>
      <c r="N14" s="184"/>
      <c r="O14" s="1" t="s">
        <v>180</v>
      </c>
    </row>
    <row r="15" spans="1:20" ht="5.25" customHeight="1" thickBot="1" x14ac:dyDescent="0.3">
      <c r="A15" s="18"/>
      <c r="B15" s="18"/>
      <c r="C15" s="18"/>
      <c r="D15" s="18"/>
      <c r="E15" s="18"/>
      <c r="F15" s="18"/>
      <c r="G15" s="18"/>
      <c r="H15" s="18"/>
      <c r="I15" s="18"/>
      <c r="P15" s="351"/>
      <c r="Q15" s="351"/>
    </row>
    <row r="16" spans="1:20" s="21" customFormat="1" ht="31.5" customHeight="1" x14ac:dyDescent="0.25">
      <c r="A16" s="337" t="s">
        <v>73</v>
      </c>
      <c r="B16" s="338"/>
      <c r="C16" s="338"/>
      <c r="D16" s="348" t="s">
        <v>74</v>
      </c>
      <c r="E16" s="349"/>
      <c r="F16" s="350"/>
      <c r="G16" s="317" t="s">
        <v>130</v>
      </c>
      <c r="H16" s="338" t="s">
        <v>75</v>
      </c>
      <c r="I16" s="338"/>
      <c r="J16" s="342" t="s">
        <v>185</v>
      </c>
      <c r="K16" s="344" t="s">
        <v>131</v>
      </c>
      <c r="L16" s="318" t="s">
        <v>186</v>
      </c>
      <c r="M16" s="344" t="s">
        <v>179</v>
      </c>
      <c r="N16" s="318" t="s">
        <v>132</v>
      </c>
      <c r="O16" s="316" t="s">
        <v>133</v>
      </c>
      <c r="P16" s="317"/>
      <c r="Q16" s="318" t="s">
        <v>187</v>
      </c>
    </row>
    <row r="17" spans="1:17" s="21" customFormat="1" ht="60" customHeight="1" thickBot="1" x14ac:dyDescent="0.3">
      <c r="A17" s="339"/>
      <c r="B17" s="340"/>
      <c r="C17" s="340"/>
      <c r="D17" s="182" t="s">
        <v>182</v>
      </c>
      <c r="E17" s="128" t="s">
        <v>134</v>
      </c>
      <c r="F17" s="128" t="s">
        <v>135</v>
      </c>
      <c r="G17" s="341"/>
      <c r="H17" s="340"/>
      <c r="I17" s="340"/>
      <c r="J17" s="343"/>
      <c r="K17" s="345"/>
      <c r="L17" s="319"/>
      <c r="M17" s="345"/>
      <c r="N17" s="319"/>
      <c r="O17" s="129" t="s">
        <v>136</v>
      </c>
      <c r="P17" s="130" t="s">
        <v>137</v>
      </c>
      <c r="Q17" s="319"/>
    </row>
    <row r="18" spans="1:17" s="2" customFormat="1" ht="15.75" thickBot="1" x14ac:dyDescent="0.3">
      <c r="A18" s="335">
        <v>1</v>
      </c>
      <c r="B18" s="336"/>
      <c r="C18" s="336"/>
      <c r="D18" s="181" t="s">
        <v>183</v>
      </c>
      <c r="E18" s="131" t="s">
        <v>76</v>
      </c>
      <c r="F18" s="131" t="s">
        <v>138</v>
      </c>
      <c r="G18" s="131">
        <v>3</v>
      </c>
      <c r="H18" s="336">
        <v>4</v>
      </c>
      <c r="I18" s="336"/>
      <c r="J18" s="132" t="s">
        <v>77</v>
      </c>
      <c r="K18" s="133" t="s">
        <v>78</v>
      </c>
      <c r="L18" s="134" t="s">
        <v>79</v>
      </c>
      <c r="M18" s="133" t="s">
        <v>80</v>
      </c>
      <c r="N18" s="134" t="s">
        <v>81</v>
      </c>
      <c r="O18" s="135">
        <v>10</v>
      </c>
      <c r="P18" s="136" t="s">
        <v>139</v>
      </c>
      <c r="Q18" s="134" t="s">
        <v>82</v>
      </c>
    </row>
    <row r="19" spans="1:17" s="2" customFormat="1" ht="18.75" customHeight="1" x14ac:dyDescent="0.25">
      <c r="A19" s="306" t="str">
        <f>Счет!B19</f>
        <v>Агенское вознаграждение за услуги содействия по договору №DA000287 за Сентябрь 2019г.</v>
      </c>
      <c r="B19" s="307"/>
      <c r="C19" s="307"/>
      <c r="D19" s="314" t="s">
        <v>140</v>
      </c>
      <c r="E19" s="310" t="s">
        <v>43</v>
      </c>
      <c r="F19" s="310" t="s">
        <v>43</v>
      </c>
      <c r="G19" s="310" t="s">
        <v>43</v>
      </c>
      <c r="H19" s="310" t="s">
        <v>140</v>
      </c>
      <c r="I19" s="310"/>
      <c r="J19" s="312">
        <f>Счет!L20</f>
        <v>130.91999999999996</v>
      </c>
      <c r="K19" s="321" t="s">
        <v>141</v>
      </c>
      <c r="L19" s="323">
        <v>0.2</v>
      </c>
      <c r="M19" s="325">
        <f>Счет!L21</f>
        <v>26.180000000000035</v>
      </c>
      <c r="N19" s="327">
        <f>'АКТ_Приемки услуг'!K109</f>
        <v>157.1</v>
      </c>
      <c r="O19" s="329" t="s">
        <v>43</v>
      </c>
      <c r="P19" s="331" t="s">
        <v>43</v>
      </c>
      <c r="Q19" s="333" t="s">
        <v>43</v>
      </c>
    </row>
    <row r="20" spans="1:17" s="2" customFormat="1" ht="34.5" customHeight="1" thickBot="1" x14ac:dyDescent="0.3">
      <c r="A20" s="308"/>
      <c r="B20" s="309"/>
      <c r="C20" s="309"/>
      <c r="D20" s="315"/>
      <c r="E20" s="311"/>
      <c r="F20" s="311"/>
      <c r="G20" s="311"/>
      <c r="H20" s="311"/>
      <c r="I20" s="311"/>
      <c r="J20" s="313"/>
      <c r="K20" s="322"/>
      <c r="L20" s="324"/>
      <c r="M20" s="326"/>
      <c r="N20" s="328"/>
      <c r="O20" s="330"/>
      <c r="P20" s="332"/>
      <c r="Q20" s="334"/>
    </row>
    <row r="21" spans="1:17" s="2" customFormat="1" ht="15.75" thickBot="1" x14ac:dyDescent="0.3">
      <c r="A21" s="299" t="s">
        <v>65</v>
      </c>
      <c r="B21" s="300"/>
      <c r="C21" s="300"/>
      <c r="D21" s="300"/>
      <c r="E21" s="300"/>
      <c r="F21" s="300"/>
      <c r="G21" s="300"/>
      <c r="H21" s="300"/>
      <c r="I21" s="301"/>
      <c r="J21" s="90">
        <f>J19</f>
        <v>130.91999999999996</v>
      </c>
      <c r="K21" s="302" t="s">
        <v>142</v>
      </c>
      <c r="L21" s="303"/>
      <c r="M21" s="137">
        <f>SUM(M19)</f>
        <v>26.180000000000035</v>
      </c>
      <c r="N21" s="138">
        <f>SUM(N19)</f>
        <v>157.1</v>
      </c>
      <c r="O21" s="304"/>
      <c r="P21" s="304"/>
      <c r="Q21" s="304"/>
    </row>
    <row r="22" spans="1:17" s="2" customFormat="1" x14ac:dyDescent="0.25">
      <c r="A22" s="305"/>
      <c r="B22" s="305"/>
      <c r="C22" s="305"/>
      <c r="D22" s="183"/>
      <c r="E22" s="139"/>
      <c r="F22" s="139"/>
      <c r="G22" s="139"/>
      <c r="H22" s="139"/>
      <c r="I22" s="139"/>
    </row>
    <row r="23" spans="1:17" x14ac:dyDescent="0.25">
      <c r="A23" s="18"/>
      <c r="B23" s="18"/>
      <c r="C23" s="18"/>
      <c r="D23" s="18"/>
      <c r="E23" s="18"/>
      <c r="F23" s="18"/>
      <c r="G23" s="18"/>
      <c r="H23" s="18"/>
      <c r="I23" s="18"/>
    </row>
    <row r="24" spans="1:17" x14ac:dyDescent="0.25">
      <c r="A24" s="18" t="s">
        <v>83</v>
      </c>
      <c r="B24" s="18"/>
      <c r="C24" s="18"/>
      <c r="D24" s="18"/>
      <c r="E24" s="18"/>
      <c r="F24" s="22"/>
      <c r="G24" s="22"/>
      <c r="H24" s="24"/>
      <c r="I24" s="24"/>
      <c r="J24" t="s">
        <v>84</v>
      </c>
      <c r="K24" t="s">
        <v>37</v>
      </c>
      <c r="M24" s="23"/>
      <c r="N24" s="23"/>
      <c r="O24" s="17"/>
      <c r="P24" t="s">
        <v>170</v>
      </c>
    </row>
    <row r="25" spans="1:17" x14ac:dyDescent="0.25">
      <c r="A25" s="18" t="s">
        <v>111</v>
      </c>
      <c r="B25" s="18"/>
      <c r="C25" s="18"/>
      <c r="D25" s="18"/>
      <c r="E25" s="18"/>
      <c r="F25" s="24"/>
      <c r="G25" s="24"/>
      <c r="H25" s="24"/>
      <c r="I25" s="24"/>
      <c r="M25" s="17"/>
      <c r="N25" s="17"/>
      <c r="O25" s="17"/>
    </row>
    <row r="26" spans="1:17" x14ac:dyDescent="0.25">
      <c r="A26" s="18"/>
      <c r="B26" s="18"/>
      <c r="C26" s="18"/>
      <c r="D26" s="18"/>
      <c r="E26" s="18"/>
      <c r="F26" s="24"/>
      <c r="G26" s="24"/>
      <c r="H26" s="24"/>
      <c r="I26" s="24"/>
      <c r="M26" s="17"/>
      <c r="N26" s="17"/>
      <c r="O26" s="17"/>
    </row>
    <row r="27" spans="1:17" x14ac:dyDescent="0.25">
      <c r="A27" s="18" t="s">
        <v>40</v>
      </c>
      <c r="B27" s="18"/>
      <c r="C27" s="18"/>
      <c r="D27" s="18"/>
      <c r="E27" s="18"/>
      <c r="F27" s="22"/>
      <c r="G27" s="22"/>
      <c r="H27" s="24"/>
      <c r="I27" s="24"/>
      <c r="J27" t="s">
        <v>85</v>
      </c>
      <c r="M27" s="23"/>
      <c r="N27" s="23"/>
      <c r="O27" s="23"/>
      <c r="P27" s="23"/>
    </row>
    <row r="28" spans="1:17" x14ac:dyDescent="0.25">
      <c r="A28" s="18" t="s">
        <v>111</v>
      </c>
      <c r="B28" s="18"/>
      <c r="C28" s="18"/>
      <c r="D28" s="18"/>
      <c r="E28" s="18"/>
      <c r="F28" s="18"/>
      <c r="G28" s="18"/>
      <c r="H28" s="18"/>
      <c r="I28" s="18"/>
      <c r="M28" s="320" t="s">
        <v>86</v>
      </c>
      <c r="N28" s="320"/>
      <c r="O28" s="320"/>
      <c r="P28" s="320"/>
    </row>
    <row r="29" spans="1:17" x14ac:dyDescent="0.25">
      <c r="A29" s="18"/>
      <c r="B29" s="18"/>
      <c r="C29" s="18"/>
      <c r="D29" s="18"/>
      <c r="E29" s="18"/>
      <c r="F29" s="18"/>
      <c r="G29" s="18"/>
      <c r="H29" s="18"/>
      <c r="I29" s="18"/>
      <c r="M29" s="320"/>
      <c r="N29" s="320"/>
      <c r="O29" s="320"/>
      <c r="P29" s="320"/>
    </row>
    <row r="30" spans="1:17" x14ac:dyDescent="0.25">
      <c r="A30" s="18" t="s">
        <v>143</v>
      </c>
      <c r="B30" s="18"/>
      <c r="C30" s="18"/>
      <c r="D30" s="18"/>
      <c r="E30" s="18"/>
      <c r="F30" s="18"/>
      <c r="G30" s="18"/>
      <c r="H30" s="18"/>
      <c r="I30" s="18"/>
    </row>
    <row r="31" spans="1:17" x14ac:dyDescent="0.25">
      <c r="A31" s="18" t="s">
        <v>144</v>
      </c>
      <c r="B31" s="18"/>
      <c r="C31" s="18"/>
      <c r="D31" s="18"/>
      <c r="E31" s="18"/>
      <c r="F31" s="18"/>
      <c r="G31" s="18"/>
      <c r="H31" s="18"/>
      <c r="I31" s="18"/>
    </row>
    <row r="32" spans="1:17" x14ac:dyDescent="0.25">
      <c r="A32" s="18"/>
      <c r="B32" s="18"/>
      <c r="C32" s="18"/>
      <c r="D32" s="18"/>
      <c r="E32" s="18"/>
      <c r="F32" s="18"/>
      <c r="G32" s="18"/>
      <c r="H32" s="18"/>
      <c r="I32" s="18"/>
    </row>
    <row r="33" spans="1:9" x14ac:dyDescent="0.25">
      <c r="A33" s="18"/>
      <c r="B33" s="18"/>
      <c r="C33" s="18"/>
      <c r="D33" s="18"/>
      <c r="E33" s="18"/>
      <c r="F33" s="18"/>
      <c r="G33" s="18"/>
      <c r="H33" s="18"/>
      <c r="I33" s="18"/>
    </row>
    <row r="34" spans="1:9" x14ac:dyDescent="0.25">
      <c r="A34" s="18"/>
      <c r="B34" s="18"/>
      <c r="C34" s="18"/>
      <c r="D34" s="18"/>
      <c r="E34" s="18"/>
      <c r="F34" s="18"/>
      <c r="G34" s="18"/>
      <c r="H34" s="18"/>
      <c r="I34" s="18"/>
    </row>
    <row r="35" spans="1:9" x14ac:dyDescent="0.25">
      <c r="A35" s="25"/>
      <c r="B35" s="25"/>
      <c r="C35" s="25"/>
      <c r="D35" s="25"/>
      <c r="E35" s="25"/>
      <c r="F35" s="25"/>
      <c r="G35" s="25"/>
      <c r="H35" s="25"/>
      <c r="I35" s="25"/>
    </row>
  </sheetData>
  <mergeCells count="48">
    <mergeCell ref="F2:H2"/>
    <mergeCell ref="J2:N2"/>
    <mergeCell ref="F3:H3"/>
    <mergeCell ref="J3:N3"/>
    <mergeCell ref="J1:T1"/>
    <mergeCell ref="P15:Q15"/>
    <mergeCell ref="C4:N4"/>
    <mergeCell ref="C5:N5"/>
    <mergeCell ref="D6:N6"/>
    <mergeCell ref="D7:N7"/>
    <mergeCell ref="D8:N8"/>
    <mergeCell ref="E9:N9"/>
    <mergeCell ref="D12:N12"/>
    <mergeCell ref="D13:N13"/>
    <mergeCell ref="J16:J17"/>
    <mergeCell ref="K16:K17"/>
    <mergeCell ref="C10:N10"/>
    <mergeCell ref="C11:N11"/>
    <mergeCell ref="L16:L17"/>
    <mergeCell ref="M16:M17"/>
    <mergeCell ref="N16:N17"/>
    <mergeCell ref="D16:F16"/>
    <mergeCell ref="A18:C18"/>
    <mergeCell ref="H18:I18"/>
    <mergeCell ref="A16:C17"/>
    <mergeCell ref="G16:G17"/>
    <mergeCell ref="H16:I17"/>
    <mergeCell ref="O16:P16"/>
    <mergeCell ref="Q16:Q17"/>
    <mergeCell ref="M28:P29"/>
    <mergeCell ref="K19:K20"/>
    <mergeCell ref="L19:L20"/>
    <mergeCell ref="M19:M20"/>
    <mergeCell ref="N19:N20"/>
    <mergeCell ref="O19:O20"/>
    <mergeCell ref="P19:P20"/>
    <mergeCell ref="Q19:Q20"/>
    <mergeCell ref="A21:I21"/>
    <mergeCell ref="K21:L21"/>
    <mergeCell ref="O21:Q21"/>
    <mergeCell ref="A22:C22"/>
    <mergeCell ref="A19:C20"/>
    <mergeCell ref="E19:E20"/>
    <mergeCell ref="F19:F20"/>
    <mergeCell ref="G19:G20"/>
    <mergeCell ref="H19:I20"/>
    <mergeCell ref="J19:J20"/>
    <mergeCell ref="D19:D20"/>
  </mergeCells>
  <pageMargins left="0.59055118110236227" right="0.39370078740157483" top="0.39370078740157483" bottom="0.39370078740157483" header="0.31496062992125984" footer="0.31496062992125984"/>
  <pageSetup paperSize="9" scale="7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M24"/>
  <sheetViews>
    <sheetView workbookViewId="0">
      <selection activeCell="I7" sqref="I7"/>
    </sheetView>
  </sheetViews>
  <sheetFormatPr defaultRowHeight="15" x14ac:dyDescent="0.25"/>
  <cols>
    <col min="1" max="1" width="6.85546875" customWidth="1"/>
    <col min="2" max="2" width="10.140625" bestFit="1" customWidth="1"/>
    <col min="3" max="3" width="40.140625" customWidth="1"/>
    <col min="4" max="4" width="7.42578125" customWidth="1"/>
    <col min="5" max="5" width="7.85546875" customWidth="1"/>
    <col min="6" max="6" width="10.140625" customWidth="1"/>
    <col min="9" max="9" width="15.140625" bestFit="1" customWidth="1"/>
  </cols>
  <sheetData>
    <row r="1" spans="1:13" ht="46.5" customHeight="1" x14ac:dyDescent="0.25"/>
    <row r="2" spans="1:13" ht="23.25" customHeight="1" x14ac:dyDescent="0.35">
      <c r="A2" s="365" t="str">
        <f>CONCATENATE("Акт №",Данные!S5," от ",TEXT(Данные!G2,"ДД.ММ.ГГГГ\г."))</f>
        <v>Акт №145 от 30.09.2019г.</v>
      </c>
      <c r="B2" s="366"/>
      <c r="C2" s="366"/>
      <c r="D2" s="366"/>
      <c r="E2" s="366"/>
      <c r="F2" s="366"/>
    </row>
    <row r="3" spans="1:13" x14ac:dyDescent="0.25">
      <c r="A3" s="18"/>
      <c r="B3" s="18"/>
      <c r="C3" s="18"/>
      <c r="D3" s="18"/>
      <c r="E3" s="18"/>
      <c r="F3" s="18"/>
    </row>
    <row r="4" spans="1:13" x14ac:dyDescent="0.25">
      <c r="A4" s="18" t="s">
        <v>94</v>
      </c>
      <c r="B4" s="18"/>
      <c r="C4" s="18"/>
      <c r="D4" s="18"/>
      <c r="E4" s="18"/>
      <c r="F4" s="18"/>
    </row>
    <row r="5" spans="1:13" ht="23.25" customHeight="1" x14ac:dyDescent="0.25">
      <c r="A5" s="18" t="s">
        <v>173</v>
      </c>
      <c r="B5" s="18"/>
      <c r="C5" s="18"/>
      <c r="D5" s="18"/>
      <c r="E5" s="18"/>
      <c r="F5" s="18"/>
    </row>
    <row r="6" spans="1:13" ht="6.75" customHeight="1" thickBot="1" x14ac:dyDescent="0.3">
      <c r="A6" s="18"/>
      <c r="B6" s="18"/>
      <c r="C6" s="18"/>
      <c r="D6" s="18"/>
      <c r="E6" s="18"/>
      <c r="F6" s="18"/>
    </row>
    <row r="7" spans="1:13" s="14" customFormat="1" ht="28.5" customHeight="1" thickBot="1" x14ac:dyDescent="0.3">
      <c r="A7" s="96" t="s">
        <v>87</v>
      </c>
      <c r="B7" s="370" t="s">
        <v>95</v>
      </c>
      <c r="C7" s="370"/>
      <c r="D7" s="97" t="s">
        <v>88</v>
      </c>
      <c r="E7" s="97" t="s">
        <v>62</v>
      </c>
      <c r="F7" s="98" t="s">
        <v>89</v>
      </c>
    </row>
    <row r="8" spans="1:13" s="14" customFormat="1" ht="31.5" customHeight="1" thickBot="1" x14ac:dyDescent="0.3">
      <c r="A8" s="100">
        <v>1</v>
      </c>
      <c r="B8" s="371" t="str">
        <f>Счет!B19</f>
        <v>Агенское вознаграждение за услуги содействия по договору №DA000287 за Сентябрь 2019г.</v>
      </c>
      <c r="C8" s="371"/>
      <c r="D8" s="101">
        <v>1</v>
      </c>
      <c r="E8" s="101" t="s">
        <v>43</v>
      </c>
      <c r="F8" s="102">
        <f>Счет!L22</f>
        <v>157.1</v>
      </c>
    </row>
    <row r="9" spans="1:13" x14ac:dyDescent="0.25">
      <c r="A9" s="99" t="s">
        <v>110</v>
      </c>
      <c r="B9" s="26"/>
      <c r="C9" s="26"/>
      <c r="D9" s="26"/>
      <c r="E9" s="103"/>
      <c r="F9" s="105">
        <f>F8</f>
        <v>157.1</v>
      </c>
      <c r="G9" s="17"/>
      <c r="H9" s="17"/>
      <c r="I9" s="17"/>
      <c r="J9" s="17"/>
      <c r="K9" s="17"/>
      <c r="L9" s="17"/>
      <c r="M9" s="17"/>
    </row>
    <row r="10" spans="1:13" ht="15.75" thickBot="1" x14ac:dyDescent="0.3">
      <c r="A10" s="94" t="s">
        <v>90</v>
      </c>
      <c r="B10" s="66"/>
      <c r="C10" s="95"/>
      <c r="D10" s="66"/>
      <c r="E10" s="104"/>
      <c r="F10" s="106">
        <f>Счет!L21</f>
        <v>26.180000000000035</v>
      </c>
      <c r="G10" s="17"/>
      <c r="H10" s="17"/>
      <c r="I10" s="17"/>
      <c r="J10" s="17"/>
      <c r="K10" s="17"/>
      <c r="L10" s="17"/>
      <c r="M10" s="17"/>
    </row>
    <row r="11" spans="1:13" x14ac:dyDescent="0.25">
      <c r="A11" s="24"/>
      <c r="B11" s="91"/>
      <c r="C11" s="24"/>
      <c r="D11" s="24"/>
      <c r="E11" s="24"/>
      <c r="F11" s="24"/>
      <c r="G11" s="17"/>
      <c r="H11" s="17"/>
      <c r="I11" s="17"/>
      <c r="J11" s="17"/>
      <c r="K11" s="17"/>
      <c r="L11" s="17"/>
      <c r="M11" s="17"/>
    </row>
    <row r="12" spans="1:13" x14ac:dyDescent="0.25">
      <c r="A12" s="24" t="s">
        <v>96</v>
      </c>
      <c r="B12" s="92"/>
      <c r="C12" s="92"/>
      <c r="D12" s="92"/>
      <c r="E12" s="92"/>
      <c r="F12" s="24"/>
      <c r="G12" s="17"/>
      <c r="H12" s="17"/>
      <c r="I12" s="17"/>
      <c r="J12" s="17"/>
      <c r="K12" s="17"/>
      <c r="L12" s="17"/>
      <c r="M12" s="17"/>
    </row>
    <row r="13" spans="1:13" x14ac:dyDescent="0.25">
      <c r="A13" s="24"/>
      <c r="B13" s="367" t="str">
        <f>СуммаПрописью(F9)</f>
        <v>Сто пятьдесят семь рублей 10 копеек</v>
      </c>
      <c r="C13" s="367"/>
      <c r="D13" s="367"/>
      <c r="E13" s="367"/>
      <c r="F13" s="24"/>
      <c r="G13" s="17"/>
      <c r="H13" s="17"/>
      <c r="I13" s="17"/>
      <c r="J13" s="17"/>
      <c r="K13" s="17"/>
      <c r="L13" s="17"/>
      <c r="M13" s="17"/>
    </row>
    <row r="14" spans="1:13" ht="11.25" customHeight="1" x14ac:dyDescent="0.25">
      <c r="A14" s="24"/>
      <c r="B14" s="372" t="s">
        <v>91</v>
      </c>
      <c r="C14" s="372"/>
      <c r="D14" s="372"/>
      <c r="E14" s="372"/>
      <c r="F14" s="24"/>
      <c r="G14" s="17"/>
      <c r="H14" s="17"/>
      <c r="I14" s="17"/>
      <c r="J14" s="17"/>
      <c r="K14" s="17"/>
      <c r="L14" s="17"/>
      <c r="M14" s="17"/>
    </row>
    <row r="15" spans="1:13" ht="18" customHeight="1" x14ac:dyDescent="0.25">
      <c r="A15" s="24"/>
      <c r="B15" s="368" t="str">
        <f>СуммаПрописью(F10)</f>
        <v>Двадцать шесть рублей 18 копеек</v>
      </c>
      <c r="C15" s="368"/>
      <c r="D15" s="368"/>
      <c r="E15" s="368"/>
      <c r="F15" s="24"/>
      <c r="G15" s="17"/>
      <c r="H15" s="17"/>
      <c r="I15" s="17"/>
      <c r="J15" s="17"/>
      <c r="K15" s="17"/>
      <c r="L15" s="17"/>
      <c r="M15" s="17"/>
    </row>
    <row r="16" spans="1:13" ht="12" customHeight="1" x14ac:dyDescent="0.25">
      <c r="A16" s="24"/>
      <c r="B16" s="372" t="s">
        <v>92</v>
      </c>
      <c r="C16" s="372"/>
      <c r="D16" s="372"/>
      <c r="E16" s="372"/>
      <c r="F16" s="24"/>
      <c r="G16" s="17"/>
      <c r="H16" s="17"/>
      <c r="I16" s="60"/>
      <c r="J16" s="17"/>
      <c r="K16" s="17"/>
      <c r="L16" s="17"/>
      <c r="M16" s="17"/>
    </row>
    <row r="17" spans="1:13" x14ac:dyDescent="0.25">
      <c r="A17" s="24"/>
      <c r="B17" s="24"/>
      <c r="C17" s="24"/>
      <c r="D17" s="24"/>
      <c r="E17" s="24"/>
      <c r="F17" s="24"/>
      <c r="G17" s="17"/>
      <c r="H17" s="17"/>
      <c r="I17" s="17"/>
      <c r="J17" s="17"/>
      <c r="K17" s="17"/>
      <c r="L17" s="17"/>
      <c r="M17" s="17"/>
    </row>
    <row r="18" spans="1:13" ht="30.75" customHeight="1" x14ac:dyDescent="0.25">
      <c r="A18" s="369" t="str">
        <f>CONCATENATE("Вышеперечисленные услуги выполнены полностью и в срок 01.", TEXT(Данные!G2,"ММ.ГГГГ\г\.")," по ",TEXT(EOMONTH(Данные!G2,0),"ДД.ММ.ГГГГ\г\.")," Заказчик претензий по объему, качеству и срокам оказания услуг не имеет.")</f>
        <v>Вышеперечисленные услуги выполнены полностью и в срок 01.09.2019г. по 30.09.2019г. Заказчик претензий по объему, качеству и срокам оказания услуг не имеет.</v>
      </c>
      <c r="B18" s="369"/>
      <c r="C18" s="369"/>
      <c r="D18" s="369"/>
      <c r="E18" s="369"/>
      <c r="F18" s="369"/>
      <c r="G18" s="17"/>
      <c r="H18" s="17"/>
      <c r="I18" s="17"/>
      <c r="J18" s="17"/>
      <c r="K18" s="17"/>
      <c r="L18" s="17"/>
      <c r="M18" s="17"/>
    </row>
    <row r="19" spans="1:13" x14ac:dyDescent="0.25">
      <c r="A19" s="24"/>
      <c r="B19" s="24"/>
      <c r="C19" s="24"/>
      <c r="D19" s="24"/>
      <c r="E19" s="24"/>
      <c r="F19" s="24"/>
      <c r="G19" s="17"/>
      <c r="H19" s="17"/>
      <c r="I19" s="17"/>
      <c r="J19" s="17"/>
      <c r="K19" s="17"/>
      <c r="L19" s="17"/>
      <c r="M19" s="17"/>
    </row>
    <row r="20" spans="1:13" x14ac:dyDescent="0.25">
      <c r="A20" s="24"/>
      <c r="B20" s="24"/>
      <c r="C20" s="24"/>
      <c r="D20" s="24"/>
      <c r="E20" s="24"/>
      <c r="F20" s="24"/>
      <c r="G20" s="17"/>
      <c r="H20" s="17"/>
      <c r="I20" s="17"/>
      <c r="J20" s="17"/>
      <c r="K20" s="17"/>
      <c r="L20" s="17"/>
      <c r="M20" s="17"/>
    </row>
    <row r="21" spans="1:13" x14ac:dyDescent="0.25">
      <c r="A21" s="93" t="s">
        <v>97</v>
      </c>
      <c r="B21" s="24"/>
      <c r="C21" s="24"/>
      <c r="D21" s="24"/>
      <c r="E21" s="24"/>
      <c r="F21" s="24"/>
      <c r="G21" s="17"/>
      <c r="H21" s="17"/>
      <c r="I21" s="17"/>
      <c r="J21" s="17"/>
      <c r="K21" s="17"/>
      <c r="L21" s="17"/>
      <c r="M21" s="17"/>
    </row>
    <row r="22" spans="1:13" x14ac:dyDescent="0.25">
      <c r="A22" s="89"/>
      <c r="B22" s="24"/>
      <c r="C22" s="24"/>
      <c r="D22" s="24"/>
      <c r="E22" s="24"/>
      <c r="F22" s="24"/>
      <c r="G22" s="17"/>
      <c r="H22" s="17"/>
      <c r="I22" s="17"/>
      <c r="J22" s="17"/>
      <c r="K22" s="17"/>
      <c r="L22" s="17"/>
      <c r="M22" s="17"/>
    </row>
    <row r="23" spans="1:13" x14ac:dyDescent="0.25">
      <c r="A23" s="56" t="s">
        <v>177</v>
      </c>
      <c r="B23" s="18"/>
      <c r="C23" s="18"/>
      <c r="D23" s="18"/>
      <c r="E23" s="18"/>
      <c r="F23" s="18"/>
    </row>
    <row r="24" spans="1:13" x14ac:dyDescent="0.25">
      <c r="A24" s="25"/>
      <c r="B24" s="25"/>
      <c r="C24" s="25"/>
      <c r="D24" s="25"/>
      <c r="E24" s="25"/>
      <c r="F24" s="25"/>
    </row>
  </sheetData>
  <mergeCells count="8">
    <mergeCell ref="A2:F2"/>
    <mergeCell ref="B13:E13"/>
    <mergeCell ref="B15:E15"/>
    <mergeCell ref="A18:F18"/>
    <mergeCell ref="B7:C7"/>
    <mergeCell ref="B8:C8"/>
    <mergeCell ref="B14:E14"/>
    <mergeCell ref="B16:E16"/>
  </mergeCell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2:M25"/>
  <sheetViews>
    <sheetView workbookViewId="0">
      <selection activeCell="D11" sqref="D11"/>
    </sheetView>
  </sheetViews>
  <sheetFormatPr defaultRowHeight="15" x14ac:dyDescent="0.25"/>
  <cols>
    <col min="1" max="1" width="21.42578125" customWidth="1"/>
    <col min="2" max="2" width="20" customWidth="1"/>
    <col min="3" max="3" width="16.140625" customWidth="1"/>
    <col min="4" max="4" width="32.7109375" customWidth="1"/>
  </cols>
  <sheetData>
    <row r="2" spans="1:13" ht="15.75" x14ac:dyDescent="0.25">
      <c r="A2" s="229" t="s">
        <v>104</v>
      </c>
      <c r="B2" s="229"/>
      <c r="C2" s="229"/>
      <c r="D2" s="229"/>
    </row>
    <row r="3" spans="1:13" ht="18" customHeight="1" x14ac:dyDescent="0.25">
      <c r="A3" s="229" t="s">
        <v>105</v>
      </c>
      <c r="B3" s="229"/>
      <c r="C3" s="229"/>
      <c r="D3" s="229"/>
    </row>
    <row r="4" spans="1:13" ht="18.75" customHeight="1" x14ac:dyDescent="0.25">
      <c r="A4" s="229" t="s">
        <v>106</v>
      </c>
      <c r="B4" s="229"/>
      <c r="C4" s="229"/>
      <c r="D4" s="229"/>
    </row>
    <row r="6" spans="1:13" x14ac:dyDescent="0.25">
      <c r="A6" t="s">
        <v>13</v>
      </c>
      <c r="D6" s="57">
        <f>EOMONTH(Данные!G2,0)</f>
        <v>43738</v>
      </c>
    </row>
    <row r="7" spans="1:13" ht="8.25" customHeight="1" x14ac:dyDescent="0.25"/>
    <row r="8" spans="1:13" ht="30.75" customHeight="1" x14ac:dyDescent="0.25">
      <c r="A8" s="235" t="s">
        <v>174</v>
      </c>
      <c r="B8" s="235"/>
      <c r="C8" s="235"/>
      <c r="D8" s="235"/>
      <c r="E8" s="17"/>
      <c r="F8" s="17"/>
    </row>
    <row r="9" spans="1:13" ht="6.75" customHeight="1" thickBot="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</row>
    <row r="10" spans="1:13" ht="30" x14ac:dyDescent="0.25">
      <c r="A10" s="374" t="s">
        <v>98</v>
      </c>
      <c r="B10" s="376" t="s">
        <v>101</v>
      </c>
      <c r="C10" s="376"/>
      <c r="D10" s="107" t="s">
        <v>178</v>
      </c>
      <c r="E10" s="17"/>
      <c r="F10" s="17"/>
      <c r="G10" s="17"/>
      <c r="H10" s="17"/>
      <c r="I10" s="17"/>
      <c r="J10" s="17"/>
      <c r="K10" s="17"/>
      <c r="L10" s="17"/>
      <c r="M10" s="17"/>
    </row>
    <row r="11" spans="1:13" ht="30.75" thickBot="1" x14ac:dyDescent="0.3">
      <c r="A11" s="375"/>
      <c r="B11" s="377" t="s">
        <v>102</v>
      </c>
      <c r="C11" s="377"/>
      <c r="D11" s="108" t="s">
        <v>103</v>
      </c>
      <c r="E11" s="17"/>
      <c r="F11" s="17"/>
      <c r="G11" s="17"/>
      <c r="H11" s="17"/>
      <c r="I11" s="17"/>
      <c r="J11" s="17"/>
      <c r="K11" s="17"/>
      <c r="L11" s="17"/>
      <c r="M11" s="17"/>
    </row>
    <row r="12" spans="1:13" ht="15.75" thickBot="1" x14ac:dyDescent="0.3">
      <c r="A12" s="109" t="str">
        <f xml:space="preserve"> TEXT(Данные!G2,"ММММ ГГГГ\г\.")</f>
        <v>Сентябрь 2019г.</v>
      </c>
      <c r="B12" s="378">
        <f>B13</f>
        <v>890.04</v>
      </c>
      <c r="C12" s="378"/>
      <c r="D12" s="157">
        <f>Счет!L19</f>
        <v>157.1</v>
      </c>
      <c r="E12" s="17"/>
      <c r="F12" s="17"/>
      <c r="G12" s="17"/>
      <c r="H12" s="17"/>
      <c r="I12" s="17"/>
      <c r="J12" s="17"/>
      <c r="K12" s="17"/>
      <c r="L12" s="17"/>
      <c r="M12" s="17"/>
    </row>
    <row r="13" spans="1:13" ht="15.75" thickBot="1" x14ac:dyDescent="0.3">
      <c r="A13" s="110" t="s">
        <v>99</v>
      </c>
      <c r="B13" s="379">
        <f>'АКТ_Приемки услуг'!G109</f>
        <v>890.04</v>
      </c>
      <c r="C13" s="379"/>
      <c r="D13" s="156">
        <f>D12</f>
        <v>157.1</v>
      </c>
      <c r="E13" s="17"/>
      <c r="F13" s="17"/>
      <c r="G13" s="17"/>
      <c r="H13" s="17"/>
      <c r="I13" s="17"/>
      <c r="J13" s="17"/>
      <c r="K13" s="17"/>
      <c r="L13" s="17"/>
      <c r="M13" s="17"/>
    </row>
    <row r="14" spans="1:13" ht="15.75" thickBot="1" x14ac:dyDescent="0.3">
      <c r="A14" s="373" t="s">
        <v>100</v>
      </c>
      <c r="B14" s="373"/>
      <c r="C14" s="373"/>
      <c r="D14" s="158">
        <f>B13-D13</f>
        <v>732.93999999999994</v>
      </c>
      <c r="E14" s="17"/>
      <c r="F14" s="17"/>
      <c r="G14" s="17"/>
      <c r="H14" s="17"/>
      <c r="I14" s="17"/>
      <c r="J14" s="17"/>
      <c r="K14" s="17"/>
      <c r="L14" s="17"/>
      <c r="M14" s="17"/>
    </row>
    <row r="15" spans="1:13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</row>
    <row r="16" spans="1:13" ht="32.25" customHeight="1" x14ac:dyDescent="0.25">
      <c r="A16" s="235" t="str">
        <f>CONCATENATE("Стороны договорились о зачете встречных требований на сумму ",ROUND(D13,2)," руб. в том числе НДС(18%)- ",ROUND(Счет!L21,2)," руб.")</f>
        <v>Стороны договорились о зачете встречных требований на сумму 157,1 руб. в том числе НДС(18%)- 26,18 руб.</v>
      </c>
      <c r="B16" s="235"/>
      <c r="C16" s="235"/>
      <c r="D16" s="235"/>
      <c r="E16" s="17"/>
      <c r="F16" s="155"/>
      <c r="G16" s="17"/>
      <c r="H16" s="17"/>
      <c r="I16" s="17"/>
      <c r="J16" s="17"/>
      <c r="K16" s="17"/>
      <c r="L16" s="17"/>
      <c r="M16" s="17"/>
    </row>
    <row r="17" spans="1:13" ht="32.25" customHeight="1" x14ac:dyDescent="0.25">
      <c r="A17" s="235" t="str">
        <f>CONCATENATE("ООО 'РеИнфоКом' перечисляет на р\с АО 'Компания ТрансТелеКом' сумму в размере ",ROUND(D14,2)," руб., в том числе НДС (20%) - ",ROUND(D14-(D14/1.2),2)," руб.")</f>
        <v>ООО 'РеИнфоКом' перечисляет на р\с АО 'Компания ТрансТелеКом' сумму в размере 732,94 руб., в том числе НДС (20%) - 122,16 руб.</v>
      </c>
      <c r="B17" s="235"/>
      <c r="C17" s="235"/>
      <c r="D17" s="235"/>
      <c r="E17" s="17"/>
      <c r="F17" s="155"/>
      <c r="G17" s="17"/>
      <c r="H17" s="17"/>
      <c r="I17" s="17"/>
      <c r="J17" s="17"/>
      <c r="K17" s="17"/>
      <c r="L17" s="17"/>
      <c r="M17" s="17"/>
    </row>
    <row r="18" spans="1:13" ht="32.25" customHeight="1" x14ac:dyDescent="0.25">
      <c r="A18" s="235" t="s">
        <v>107</v>
      </c>
      <c r="B18" s="235"/>
      <c r="C18" s="235"/>
      <c r="D18" s="235"/>
      <c r="E18" s="17"/>
      <c r="F18" s="17"/>
      <c r="G18" s="17"/>
      <c r="H18" s="17"/>
      <c r="I18" s="17"/>
      <c r="J18" s="17"/>
      <c r="K18" s="17"/>
      <c r="L18" s="17"/>
      <c r="M18" s="17"/>
    </row>
    <row r="19" spans="1:13" x14ac:dyDescent="0.25">
      <c r="A19" s="17" t="s">
        <v>108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</row>
    <row r="20" spans="1:13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</row>
    <row r="21" spans="1:13" x14ac:dyDescent="0.25">
      <c r="A21" t="s">
        <v>208</v>
      </c>
      <c r="B21" s="17"/>
      <c r="C21" s="1" t="s">
        <v>210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</row>
    <row r="22" spans="1:13" x14ac:dyDescent="0.25">
      <c r="C22" s="1"/>
    </row>
    <row r="23" spans="1:13" x14ac:dyDescent="0.25">
      <c r="A23" t="s">
        <v>209</v>
      </c>
      <c r="C23" s="1" t="s">
        <v>211</v>
      </c>
    </row>
    <row r="24" spans="1:13" x14ac:dyDescent="0.25">
      <c r="C24" s="1" t="s">
        <v>212</v>
      </c>
    </row>
    <row r="25" spans="1:13" x14ac:dyDescent="0.25">
      <c r="C25" s="1" t="s">
        <v>213</v>
      </c>
    </row>
  </sheetData>
  <mergeCells count="13">
    <mergeCell ref="A16:D16"/>
    <mergeCell ref="A17:D17"/>
    <mergeCell ref="A10:A11"/>
    <mergeCell ref="A18:D18"/>
    <mergeCell ref="B10:C10"/>
    <mergeCell ref="B11:C11"/>
    <mergeCell ref="B12:C12"/>
    <mergeCell ref="B13:C13"/>
    <mergeCell ref="A2:D2"/>
    <mergeCell ref="A3:D3"/>
    <mergeCell ref="A4:D4"/>
    <mergeCell ref="A8:D8"/>
    <mergeCell ref="A14:C14"/>
  </mergeCells>
  <pageMargins left="0.70866141732283472" right="0.70866141732283472" top="0.74803149606299213" bottom="0.74803149606299213" header="0.31496062992125984" footer="0.31496062992125984"/>
  <pageSetup paperSize="9"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Данные</vt:lpstr>
      <vt:lpstr>АКТ_Приемки услуг</vt:lpstr>
      <vt:lpstr>Соглашение об уступке</vt:lpstr>
      <vt:lpstr>Книга Продаж</vt:lpstr>
      <vt:lpstr>Счет</vt:lpstr>
      <vt:lpstr>С-Ф</vt:lpstr>
      <vt:lpstr>АКТ</vt:lpstr>
      <vt:lpstr>АКТ зачета задолженостей</vt:lpstr>
    </vt:vector>
  </TitlesOfParts>
  <Company>CtrlSoft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Kobra</dc:creator>
  <cp:lastModifiedBy>Емельян</cp:lastModifiedBy>
  <cp:lastPrinted>2019-09-04T09:43:27Z</cp:lastPrinted>
  <dcterms:created xsi:type="dcterms:W3CDTF">2011-10-05T06:07:04Z</dcterms:created>
  <dcterms:modified xsi:type="dcterms:W3CDTF">2019-10-22T06:18:49Z</dcterms:modified>
</cp:coreProperties>
</file>